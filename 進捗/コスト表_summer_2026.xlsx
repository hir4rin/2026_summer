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mc:AlternateContent xmlns:mc="http://schemas.openxmlformats.org/markup-compatibility/2006">
    <mc:Choice Requires="x15">
      <x15ac:absPath xmlns:x15ac="http://schemas.microsoft.com/office/spreadsheetml/2010/11/ac" url="C:\Users\tsyts\GitHub\2026_summer\進捗\"/>
    </mc:Choice>
  </mc:AlternateContent>
  <xr:revisionPtr revIDLastSave="0" documentId="13_ncr:1_{65658B95-9AC2-4AB8-B3B5-1F53B3C8C6FE}" xr6:coauthVersionLast="47" xr6:coauthVersionMax="47" xr10:uidLastSave="{00000000-0000-0000-0000-000000000000}"/>
  <bookViews>
    <workbookView xWindow="-22575" yWindow="3195" windowWidth="21135" windowHeight="15165" firstSheet="1" activeTab="3" xr2:uid="{00000000-000D-0000-FFFF-FFFF00000000}"/>
  </bookViews>
  <sheets>
    <sheet name="概要" sheetId="5" r:id="rId1"/>
    <sheet name="作業工数見積もり" sheetId="1" r:id="rId2"/>
    <sheet name="カレンダー" sheetId="6" r:id="rId3"/>
    <sheet name="日記" sheetId="12" r:id="rId4"/>
    <sheet name="メモ" sheetId="9" r:id="rId5"/>
    <sheet name="雑用" sheetId="10" r:id="rId6"/>
    <sheet name="仕様書①" sheetId="13" r:id="rId7"/>
    <sheet name="仕様書②" sheetId="15" r:id="rId8"/>
    <sheet name="クラス設計" sheetId="14" r:id="rId9"/>
  </sheets>
  <definedNames>
    <definedName name="_xlnm._FilterDatabase" localSheetId="1" hidden="1">作業工数見積もり!$B$2:$G$63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 i="1" l="1"/>
  <c r="J7" i="1"/>
  <c r="K5" i="1"/>
  <c r="K6" i="1"/>
  <c r="K4" i="1"/>
  <c r="L5" i="1"/>
  <c r="L6" i="1"/>
  <c r="L4" i="1"/>
  <c r="L3" i="1"/>
  <c r="J5" i="1"/>
  <c r="J6" i="1"/>
  <c r="J4" i="1"/>
  <c r="C3" i="5"/>
  <c r="C4" i="5"/>
  <c r="C6" i="5"/>
  <c r="C7" i="5"/>
  <c r="C5" i="5" s="1"/>
  <c r="C10" i="5"/>
  <c r="D10" i="5"/>
  <c r="C11" i="5"/>
  <c r="D11" i="5"/>
  <c r="C12" i="5"/>
  <c r="D12" i="5"/>
  <c r="J3" i="1" l="1"/>
  <c r="E12" i="5"/>
  <c r="D5" i="5"/>
  <c r="E10" i="5"/>
  <c r="E11" i="5"/>
</calcChain>
</file>

<file path=xl/sharedStrings.xml><?xml version="1.0" encoding="utf-8"?>
<sst xmlns="http://schemas.openxmlformats.org/spreadsheetml/2006/main" count="577" uniqueCount="281">
  <si>
    <t>アルファ</t>
    <phoneticPr fontId="1"/>
  </si>
  <si>
    <t>優先度</t>
    <rPh sb="0" eb="3">
      <t>ユウセンド</t>
    </rPh>
    <phoneticPr fontId="1"/>
  </si>
  <si>
    <t>バージョン</t>
    <phoneticPr fontId="1"/>
  </si>
  <si>
    <t>実コスト</t>
    <rPh sb="0" eb="1">
      <t>ジツ</t>
    </rPh>
    <phoneticPr fontId="1"/>
  </si>
  <si>
    <t>総コスト</t>
    <rPh sb="0" eb="1">
      <t>ソウ</t>
    </rPh>
    <phoneticPr fontId="1"/>
  </si>
  <si>
    <t>S</t>
  </si>
  <si>
    <t>消化コスト</t>
    <rPh sb="0" eb="2">
      <t>ショウカ</t>
    </rPh>
    <phoneticPr fontId="1"/>
  </si>
  <si>
    <t>消費コスト / 日数</t>
    <rPh sb="0" eb="2">
      <t>ショウヒ</t>
    </rPh>
    <rPh sb="8" eb="10">
      <t>ニッスウ</t>
    </rPh>
    <phoneticPr fontId="1"/>
  </si>
  <si>
    <t>現在の日数(土日除く)</t>
    <rPh sb="0" eb="2">
      <t>ゲンザイ</t>
    </rPh>
    <rPh sb="3" eb="5">
      <t>ニッスウ</t>
    </rPh>
    <rPh sb="6" eb="8">
      <t>ドニチ</t>
    </rPh>
    <rPh sb="8" eb="9">
      <t>ノゾ</t>
    </rPh>
    <phoneticPr fontId="1"/>
  </si>
  <si>
    <t>開始日</t>
    <rPh sb="0" eb="3">
      <t>カイシビ</t>
    </rPh>
    <phoneticPr fontId="1"/>
  </si>
  <si>
    <t>アルファ</t>
  </si>
  <si>
    <t>今日の日付</t>
    <rPh sb="0" eb="2">
      <t>キョウ</t>
    </rPh>
    <rPh sb="3" eb="5">
      <t>ヒヅケ</t>
    </rPh>
    <phoneticPr fontId="1"/>
  </si>
  <si>
    <t>残り日数(土日除く)</t>
    <rPh sb="0" eb="1">
      <t>ノコ</t>
    </rPh>
    <rPh sb="2" eb="4">
      <t>ニッスウ</t>
    </rPh>
    <rPh sb="5" eb="7">
      <t>ドニチ</t>
    </rPh>
    <rPh sb="7" eb="8">
      <t>ノゾ</t>
    </rPh>
    <phoneticPr fontId="1"/>
  </si>
  <si>
    <t>一日の消費コスト</t>
    <rPh sb="0" eb="2">
      <t>イチニチ</t>
    </rPh>
    <rPh sb="3" eb="5">
      <t>ショウヒ</t>
    </rPh>
    <phoneticPr fontId="1"/>
  </si>
  <si>
    <t>B</t>
  </si>
  <si>
    <t>理想</t>
    <rPh sb="0" eb="2">
      <t>リソウ</t>
    </rPh>
    <phoneticPr fontId="1"/>
  </si>
  <si>
    <t>デッドライン</t>
    <phoneticPr fontId="1"/>
  </si>
  <si>
    <t>真実のデッドライン</t>
    <rPh sb="0" eb="2">
      <t>シンジツ</t>
    </rPh>
    <phoneticPr fontId="1"/>
  </si>
  <si>
    <t>プロト</t>
  </si>
  <si>
    <t>S：実装が必須</t>
    <rPh sb="2" eb="4">
      <t>ジッソウ</t>
    </rPh>
    <rPh sb="5" eb="7">
      <t>ヒッス</t>
    </rPh>
    <phoneticPr fontId="1"/>
  </si>
  <si>
    <t>A：重要な要素</t>
    <rPh sb="2" eb="4">
      <t>ジュウヨウ</t>
    </rPh>
    <rPh sb="5" eb="7">
      <t>ヨウソ</t>
    </rPh>
    <phoneticPr fontId="1"/>
  </si>
  <si>
    <t>B：なくても問題ないがあるといい</t>
    <rPh sb="6" eb="8">
      <t>モンダイ</t>
    </rPh>
    <phoneticPr fontId="1"/>
  </si>
  <si>
    <t>C：なくても問題ない</t>
    <rPh sb="6" eb="8">
      <t>モンダイ</t>
    </rPh>
    <phoneticPr fontId="1"/>
  </si>
  <si>
    <t>作業工数について</t>
    <rPh sb="0" eb="4">
      <t>サギョウコウスウ</t>
    </rPh>
    <phoneticPr fontId="1"/>
  </si>
  <si>
    <t>単位は人日</t>
    <rPh sb="0" eb="2">
      <t>タンイ</t>
    </rPh>
    <rPh sb="3" eb="5">
      <t>ニンニチ</t>
    </rPh>
    <phoneticPr fontId="1"/>
  </si>
  <si>
    <t>1人日＝8時間</t>
    <rPh sb="1" eb="3">
      <t>ニンニチ</t>
    </rPh>
    <rPh sb="5" eb="7">
      <t>ジカン</t>
    </rPh>
    <phoneticPr fontId="1"/>
  </si>
  <si>
    <t>最小＝0.25人日(2時間)</t>
    <rPh sb="0" eb="2">
      <t>サイショウ</t>
    </rPh>
    <rPh sb="7" eb="9">
      <t>ニンニチ</t>
    </rPh>
    <rPh sb="11" eb="13">
      <t>ジカン</t>
    </rPh>
    <phoneticPr fontId="1"/>
  </si>
  <si>
    <t>0.25(2時間)→0.5(4時間)→1(8時間)</t>
    <rPh sb="6" eb="8">
      <t>ジカン</t>
    </rPh>
    <phoneticPr fontId="1"/>
  </si>
  <si>
    <t>プロト</t>
    <phoneticPr fontId="1"/>
  </si>
  <si>
    <t>ベータ</t>
    <phoneticPr fontId="1"/>
  </si>
  <si>
    <t>マスター</t>
    <phoneticPr fontId="1"/>
  </si>
  <si>
    <t>概要</t>
    <rPh sb="0" eb="2">
      <t>ガイヨウ</t>
    </rPh>
    <phoneticPr fontId="1"/>
  </si>
  <si>
    <t>詳細</t>
    <rPh sb="0" eb="2">
      <t>ショウサイ</t>
    </rPh>
    <phoneticPr fontId="1"/>
  </si>
  <si>
    <t>作業工数</t>
    <rPh sb="0" eb="4">
      <t>サギョウコウスウ</t>
    </rPh>
    <phoneticPr fontId="1"/>
  </si>
  <si>
    <t>ステータス</t>
    <phoneticPr fontId="1"/>
  </si>
  <si>
    <t>アルファ素材集め</t>
    <rPh sb="4" eb="6">
      <t>ソザイ</t>
    </rPh>
    <rPh sb="6" eb="7">
      <t>アツ</t>
    </rPh>
    <phoneticPr fontId="1"/>
  </si>
  <si>
    <t>UI素材</t>
    <rPh sb="2" eb="4">
      <t>ソザイ</t>
    </rPh>
    <phoneticPr fontId="1"/>
  </si>
  <si>
    <t>当たり判定</t>
    <rPh sb="0" eb="1">
      <t>ア</t>
    </rPh>
    <rPh sb="3" eb="5">
      <t>ハンテイ</t>
    </rPh>
    <phoneticPr fontId="1"/>
  </si>
  <si>
    <t>システム</t>
    <phoneticPr fontId="1"/>
  </si>
  <si>
    <t>未着手</t>
  </si>
  <si>
    <t>カメラ</t>
    <phoneticPr fontId="1"/>
  </si>
  <si>
    <t>ステージ</t>
    <phoneticPr fontId="1"/>
  </si>
  <si>
    <t>UI</t>
    <phoneticPr fontId="1"/>
  </si>
  <si>
    <t>表示、移動</t>
    <rPh sb="0" eb="2">
      <t>ヒョウジ</t>
    </rPh>
    <rPh sb="3" eb="5">
      <t>イドウ</t>
    </rPh>
    <phoneticPr fontId="1"/>
  </si>
  <si>
    <t>1コスト1時間</t>
    <rPh sb="5" eb="7">
      <t>ジカン</t>
    </rPh>
    <phoneticPr fontId="1"/>
  </si>
  <si>
    <t>プレイヤー</t>
    <phoneticPr fontId="1"/>
  </si>
  <si>
    <t>移動アニメーション</t>
    <phoneticPr fontId="1"/>
  </si>
  <si>
    <t>攻撃アニメーション</t>
    <rPh sb="0" eb="2">
      <t>コウゲキ</t>
    </rPh>
    <phoneticPr fontId="1"/>
  </si>
  <si>
    <t>4/13まで</t>
    <phoneticPr fontId="1"/>
  </si>
  <si>
    <t>敵</t>
    <rPh sb="0" eb="1">
      <t>テキ</t>
    </rPh>
    <phoneticPr fontId="1"/>
  </si>
  <si>
    <t>カメラの移動</t>
    <rPh sb="4" eb="6">
      <t>イドウ</t>
    </rPh>
    <phoneticPr fontId="1"/>
  </si>
  <si>
    <t>剣の表示</t>
    <rPh sb="0" eb="1">
      <t>ケン</t>
    </rPh>
    <rPh sb="2" eb="4">
      <t>ヒョウジ</t>
    </rPh>
    <phoneticPr fontId="1"/>
  </si>
  <si>
    <t>ゲームループ用のシステム</t>
    <rPh sb="6" eb="7">
      <t>ヨウ</t>
    </rPh>
    <phoneticPr fontId="1"/>
  </si>
  <si>
    <t>ステージの表示</t>
    <rPh sb="5" eb="7">
      <t>ヒョウジ</t>
    </rPh>
    <phoneticPr fontId="1"/>
  </si>
  <si>
    <t>攻撃と敵との当たり判定</t>
    <rPh sb="0" eb="2">
      <t>コウゲキ</t>
    </rPh>
    <rPh sb="3" eb="4">
      <t>テキ</t>
    </rPh>
    <rPh sb="6" eb="7">
      <t>ア</t>
    </rPh>
    <rPh sb="9" eb="11">
      <t>ハンテイ</t>
    </rPh>
    <phoneticPr fontId="1"/>
  </si>
  <si>
    <t>被弾アニメーション</t>
    <rPh sb="0" eb="2">
      <t>ヒダン</t>
    </rPh>
    <phoneticPr fontId="1"/>
  </si>
  <si>
    <t>モデル探し</t>
    <rPh sb="3" eb="4">
      <t>サガ</t>
    </rPh>
    <phoneticPr fontId="1"/>
  </si>
  <si>
    <t>BGM探し</t>
    <rPh sb="3" eb="4">
      <t>サガ</t>
    </rPh>
    <phoneticPr fontId="1"/>
  </si>
  <si>
    <t>SE探し</t>
    <rPh sb="2" eb="3">
      <t>サガ</t>
    </rPh>
    <phoneticPr fontId="1"/>
  </si>
  <si>
    <t>プレイヤーと敵との当たり判定</t>
    <rPh sb="6" eb="7">
      <t>テキ</t>
    </rPh>
    <rPh sb="9" eb="10">
      <t>ア</t>
    </rPh>
    <rPh sb="12" eb="14">
      <t>ハンテイ</t>
    </rPh>
    <phoneticPr fontId="1"/>
  </si>
  <si>
    <t>インゲーム中のシステム</t>
    <rPh sb="5" eb="6">
      <t>チュウ</t>
    </rPh>
    <phoneticPr fontId="1"/>
  </si>
  <si>
    <t>UX</t>
    <phoneticPr fontId="1"/>
  </si>
  <si>
    <t>日</t>
    <rPh sb="0" eb="1">
      <t>ニチ</t>
    </rPh>
    <phoneticPr fontId="1"/>
  </si>
  <si>
    <t>月</t>
  </si>
  <si>
    <t>火</t>
  </si>
  <si>
    <t>水</t>
  </si>
  <si>
    <t>木</t>
  </si>
  <si>
    <t>金</t>
  </si>
  <si>
    <t>土</t>
  </si>
  <si>
    <t>カメラに合わせたプレイヤーの移動、回転</t>
    <rPh sb="4" eb="5">
      <t>ア</t>
    </rPh>
    <rPh sb="14" eb="16">
      <t>イドウ</t>
    </rPh>
    <rPh sb="17" eb="19">
      <t>カイテン</t>
    </rPh>
    <phoneticPr fontId="1"/>
  </si>
  <si>
    <t>完了</t>
  </si>
  <si>
    <t>作業中(作業工数)</t>
    <rPh sb="0" eb="3">
      <t>サギョウチュウ</t>
    </rPh>
    <rPh sb="4" eb="8">
      <t>サギョウコウスウ</t>
    </rPh>
    <phoneticPr fontId="1"/>
  </si>
  <si>
    <t>実コスト</t>
    <rPh sb="0" eb="1">
      <t>ジツ</t>
    </rPh>
    <phoneticPr fontId="1"/>
  </si>
  <si>
    <t>予想コスト</t>
    <rPh sb="0" eb="2">
      <t>ヨソウ</t>
    </rPh>
    <phoneticPr fontId="1"/>
  </si>
  <si>
    <t>残りコスト</t>
    <rPh sb="0" eb="1">
      <t>ノコ</t>
    </rPh>
    <phoneticPr fontId="1"/>
  </si>
  <si>
    <t>全体の作業時間</t>
    <phoneticPr fontId="1"/>
  </si>
  <si>
    <t>5月</t>
    <rPh sb="1" eb="2">
      <t>ガツ</t>
    </rPh>
    <phoneticPr fontId="1"/>
  </si>
  <si>
    <t>6月</t>
    <rPh sb="1" eb="2">
      <t>ガツ</t>
    </rPh>
    <phoneticPr fontId="1"/>
  </si>
  <si>
    <t>7月</t>
    <rPh sb="1" eb="2">
      <t>ガツ</t>
    </rPh>
    <phoneticPr fontId="1"/>
  </si>
  <si>
    <t>8月</t>
    <rPh sb="1" eb="2">
      <t>ガツ</t>
    </rPh>
    <phoneticPr fontId="1"/>
  </si>
  <si>
    <t>masuta</t>
    <phoneticPr fontId="1"/>
  </si>
  <si>
    <t>計81日</t>
    <rPh sb="0" eb="1">
      <t>ケイ</t>
    </rPh>
    <rPh sb="3" eb="4">
      <t>ニチ</t>
    </rPh>
    <phoneticPr fontId="1"/>
  </si>
  <si>
    <t>日数</t>
    <rPh sb="0" eb="2">
      <t>ニッスウ</t>
    </rPh>
    <phoneticPr fontId="1"/>
  </si>
  <si>
    <t>弱攻撃</t>
    <rPh sb="0" eb="1">
      <t>ジャク</t>
    </rPh>
    <rPh sb="1" eb="3">
      <t>コウゲキ</t>
    </rPh>
    <phoneticPr fontId="1"/>
  </si>
  <si>
    <t>強攻撃</t>
    <rPh sb="0" eb="3">
      <t>キョウコウゲキ</t>
    </rPh>
    <phoneticPr fontId="1"/>
  </si>
  <si>
    <t>コンボ攻撃</t>
    <rPh sb="3" eb="5">
      <t>コウゲキ</t>
    </rPh>
    <phoneticPr fontId="1"/>
  </si>
  <si>
    <t>攻撃当たり判定</t>
    <rPh sb="0" eb="2">
      <t>コウゲキ</t>
    </rPh>
    <rPh sb="2" eb="3">
      <t>ア</t>
    </rPh>
    <rPh sb="5" eb="7">
      <t>ハンテイ</t>
    </rPh>
    <phoneticPr fontId="1"/>
  </si>
  <si>
    <t>マップとの当たり判定</t>
    <rPh sb="5" eb="6">
      <t>ア</t>
    </rPh>
    <rPh sb="8" eb="10">
      <t>ハンテイ</t>
    </rPh>
    <phoneticPr fontId="1"/>
  </si>
  <si>
    <t>カメラの当たり判定</t>
    <rPh sb="4" eb="5">
      <t>ア</t>
    </rPh>
    <rPh sb="7" eb="9">
      <t>ハンテイ</t>
    </rPh>
    <phoneticPr fontId="1"/>
  </si>
  <si>
    <t>ウルト</t>
    <phoneticPr fontId="1"/>
  </si>
  <si>
    <t>ダッシュ</t>
    <phoneticPr fontId="1"/>
  </si>
  <si>
    <t>攻撃</t>
    <rPh sb="0" eb="2">
      <t>コウゲキ</t>
    </rPh>
    <phoneticPr fontId="1"/>
  </si>
  <si>
    <t>・Idle</t>
    <phoneticPr fontId="1"/>
  </si>
  <si>
    <t>・Attack</t>
    <phoneticPr fontId="1"/>
  </si>
  <si>
    <t>・Skill</t>
    <phoneticPr fontId="1"/>
  </si>
  <si>
    <t>・Ult</t>
    <phoneticPr fontId="1"/>
  </si>
  <si>
    <t>・Dash</t>
    <phoneticPr fontId="1"/>
  </si>
  <si>
    <t>ジャスト回避</t>
    <rPh sb="4" eb="6">
      <t>カイヒ</t>
    </rPh>
    <phoneticPr fontId="1"/>
  </si>
  <si>
    <t>ジャスト回避反撃</t>
    <rPh sb="4" eb="6">
      <t>カイヒ</t>
    </rPh>
    <rPh sb="6" eb="8">
      <t>ハンゲキ</t>
    </rPh>
    <phoneticPr fontId="1"/>
  </si>
  <si>
    <t>ダッシュ攻撃</t>
    <rPh sb="4" eb="6">
      <t>コウゲキ</t>
    </rPh>
    <phoneticPr fontId="1"/>
  </si>
  <si>
    <t>・Idle</t>
    <phoneticPr fontId="1"/>
  </si>
  <si>
    <t>・Caution</t>
    <phoneticPr fontId="1"/>
  </si>
  <si>
    <t>警戒</t>
    <rPh sb="0" eb="2">
      <t>ケイカイ</t>
    </rPh>
    <phoneticPr fontId="1"/>
  </si>
  <si>
    <t>・Hit</t>
    <phoneticPr fontId="1"/>
  </si>
  <si>
    <t>・Dead</t>
    <phoneticPr fontId="1"/>
  </si>
  <si>
    <t>死亡</t>
    <rPh sb="0" eb="2">
      <t>シボウ</t>
    </rPh>
    <phoneticPr fontId="1"/>
  </si>
  <si>
    <t>プレイヤーのカメラ</t>
    <phoneticPr fontId="1"/>
  </si>
  <si>
    <t>player攻撃の演出カメラ</t>
    <rPh sb="0" eb="8">
      <t>プレイヤーコウゲキ</t>
    </rPh>
    <rPh sb="9" eb="11">
      <t>エンシュツ</t>
    </rPh>
    <phoneticPr fontId="1"/>
  </si>
  <si>
    <t>ヒットエフェクト、タイムスケール実装</t>
    <phoneticPr fontId="1"/>
  </si>
  <si>
    <t>ステージの表示</t>
    <rPh sb="5" eb="7">
      <t>ヒョウジ</t>
    </rPh>
    <phoneticPr fontId="1"/>
  </si>
  <si>
    <t>ステージの当たり判定</t>
    <rPh sb="5" eb="6">
      <t>ア</t>
    </rPh>
    <rPh sb="8" eb="10">
      <t>ハンテイ</t>
    </rPh>
    <phoneticPr fontId="1"/>
  </si>
  <si>
    <t>シーン遷移</t>
    <rPh sb="3" eb="5">
      <t>センイ</t>
    </rPh>
    <phoneticPr fontId="1"/>
  </si>
  <si>
    <t>・タイトルシーン</t>
    <phoneticPr fontId="1"/>
  </si>
  <si>
    <t>・ゲームシーン</t>
    <phoneticPr fontId="1"/>
  </si>
  <si>
    <t>・リザルトシーン</t>
    <phoneticPr fontId="1"/>
  </si>
  <si>
    <t>・セレクトシーン</t>
    <phoneticPr fontId="1"/>
  </si>
  <si>
    <t>・チュートリアル</t>
    <phoneticPr fontId="1"/>
  </si>
  <si>
    <t>・雑魚敵、中ボス、大ボス</t>
    <rPh sb="1" eb="4">
      <t>ザコテキ</t>
    </rPh>
    <rPh sb="5" eb="6">
      <t>チュウ</t>
    </rPh>
    <rPh sb="9" eb="10">
      <t>オオ</t>
    </rPh>
    <phoneticPr fontId="1"/>
  </si>
  <si>
    <t>必須：入力バッファのシステムがいる！！！</t>
    <rPh sb="0" eb="2">
      <t>ヒッス</t>
    </rPh>
    <rPh sb="3" eb="5">
      <t>ニュウリョク</t>
    </rPh>
    <phoneticPr fontId="1"/>
  </si>
  <si>
    <t>月日</t>
    <rPh sb="0" eb="2">
      <t>ツキヒ</t>
    </rPh>
    <phoneticPr fontId="1"/>
  </si>
  <si>
    <t>時間</t>
    <rPh sb="0" eb="2">
      <t>ジカン</t>
    </rPh>
    <phoneticPr fontId="1"/>
  </si>
  <si>
    <t>メモ</t>
    <phoneticPr fontId="1"/>
  </si>
  <si>
    <t>8時間</t>
    <rPh sb="1" eb="3">
      <t>ジカン</t>
    </rPh>
    <phoneticPr fontId="1"/>
  </si>
  <si>
    <t>シーンコントローラー、Input,とかの基盤を作った、Playerクラスの基底クラスの基盤を作った、PlayerのStatePatternを作っている途中</t>
    <rPh sb="20" eb="22">
      <t>キバン</t>
    </rPh>
    <rPh sb="23" eb="24">
      <t>ツク</t>
    </rPh>
    <rPh sb="37" eb="39">
      <t>キテイ</t>
    </rPh>
    <rPh sb="43" eb="45">
      <t>キバン</t>
    </rPh>
    <rPh sb="46" eb="47">
      <t>ツク</t>
    </rPh>
    <rPh sb="70" eb="71">
      <t>ツク</t>
    </rPh>
    <rPh sb="75" eb="77">
      <t>トチュウ</t>
    </rPh>
    <phoneticPr fontId="1"/>
  </si>
  <si>
    <t>5時間</t>
    <rPh sb="1" eb="3">
      <t>ジカン</t>
    </rPh>
    <phoneticPr fontId="1"/>
  </si>
  <si>
    <t>PlayerStateのattackState作ってた、次はattack中の移動時間を制限する</t>
    <rPh sb="23" eb="24">
      <t>ツク</t>
    </rPh>
    <rPh sb="28" eb="29">
      <t>ツギ</t>
    </rPh>
    <rPh sb="36" eb="37">
      <t>チュウ</t>
    </rPh>
    <rPh sb="38" eb="40">
      <t>イドウ</t>
    </rPh>
    <rPh sb="40" eb="42">
      <t>ジカン</t>
    </rPh>
    <rPh sb="43" eb="45">
      <t>セイゲン</t>
    </rPh>
    <phoneticPr fontId="1"/>
  </si>
  <si>
    <t>まだ当たり判定系はなにもしていない</t>
    <rPh sb="2" eb="3">
      <t>ア</t>
    </rPh>
    <rPh sb="5" eb="8">
      <t>ハンテイケイ</t>
    </rPh>
    <phoneticPr fontId="1"/>
  </si>
  <si>
    <t>←必須ではなかった</t>
    <rPh sb="1" eb="3">
      <t>ヒッス</t>
    </rPh>
    <phoneticPr fontId="1"/>
  </si>
  <si>
    <t>入力バッファの利点：爽快感が上がり、雑にコンボができるようになる</t>
    <rPh sb="0" eb="2">
      <t>ニュウリョク</t>
    </rPh>
    <rPh sb="7" eb="9">
      <t>リテン</t>
    </rPh>
    <rPh sb="10" eb="13">
      <t>ソウカイカン</t>
    </rPh>
    <rPh sb="14" eb="15">
      <t>ア</t>
    </rPh>
    <rPh sb="18" eb="19">
      <t>ザツ</t>
    </rPh>
    <phoneticPr fontId="1"/>
  </si>
  <si>
    <t>現在、0.2~0.8のがばでとっているため、あまり変わらない</t>
    <rPh sb="0" eb="2">
      <t>ゲンザイ</t>
    </rPh>
    <rPh sb="25" eb="26">
      <t>カ</t>
    </rPh>
    <phoneticPr fontId="1"/>
  </si>
  <si>
    <t>シビアになってきたときに輝く</t>
    <rPh sb="12" eb="13">
      <t>カガヤ</t>
    </rPh>
    <phoneticPr fontId="1"/>
  </si>
  <si>
    <t>just回避、just回避反撃のStateは行動が全然別なので、分けた方がよい</t>
    <rPh sb="4" eb="6">
      <t>カイヒ</t>
    </rPh>
    <rPh sb="11" eb="13">
      <t>カイヒ</t>
    </rPh>
    <rPh sb="13" eb="15">
      <t>ハンゲキ</t>
    </rPh>
    <rPh sb="22" eb="24">
      <t>コウドウ</t>
    </rPh>
    <rPh sb="25" eb="27">
      <t>ゼンゼン</t>
    </rPh>
    <rPh sb="27" eb="28">
      <t>ベツ</t>
    </rPh>
    <rPh sb="32" eb="33">
      <t>ワ</t>
    </rPh>
    <rPh sb="35" eb="36">
      <t>ホウ</t>
    </rPh>
    <phoneticPr fontId="1"/>
  </si>
  <si>
    <t>・Hit</t>
    <phoneticPr fontId="1"/>
  </si>
  <si>
    <t>・Dead</t>
    <phoneticPr fontId="1"/>
  </si>
  <si>
    <t>死亡処理</t>
    <rPh sb="0" eb="2">
      <t>シボウ</t>
    </rPh>
    <rPh sb="2" eb="4">
      <t>ショリ</t>
    </rPh>
    <phoneticPr fontId="1"/>
  </si>
  <si>
    <t>ヒット処理</t>
    <rPh sb="3" eb="5">
      <t>ショリ</t>
    </rPh>
    <phoneticPr fontId="1"/>
  </si>
  <si>
    <t>・Jump</t>
    <phoneticPr fontId="1"/>
  </si>
  <si>
    <t>jump挙動</t>
    <rPh sb="4" eb="6">
      <t>キョドウ</t>
    </rPh>
    <phoneticPr fontId="1"/>
  </si>
  <si>
    <t>jump当たり判定</t>
    <rPh sb="4" eb="5">
      <t>ア</t>
    </rPh>
    <rPh sb="7" eb="9">
      <t>ハンテイ</t>
    </rPh>
    <phoneticPr fontId="1"/>
  </si>
  <si>
    <t>当たり判定の取り方</t>
    <rPh sb="0" eb="1">
      <t>ア</t>
    </rPh>
    <rPh sb="3" eb="5">
      <t>ハンテイ</t>
    </rPh>
    <rPh sb="6" eb="7">
      <t>ト</t>
    </rPh>
    <rPh sb="8" eb="9">
      <t>カタ</t>
    </rPh>
    <phoneticPr fontId="1"/>
  </si>
  <si>
    <t>①攻撃との当たり判定&amp;物体同士の当たり判定</t>
    <rPh sb="1" eb="3">
      <t>コウゲキ</t>
    </rPh>
    <rPh sb="5" eb="6">
      <t>ア</t>
    </rPh>
    <rPh sb="8" eb="10">
      <t>ハンテイ</t>
    </rPh>
    <rPh sb="11" eb="15">
      <t>ブッタイドウシ</t>
    </rPh>
    <rPh sb="16" eb="17">
      <t>ア</t>
    </rPh>
    <rPh sb="19" eb="21">
      <t>ハンテイ</t>
    </rPh>
    <phoneticPr fontId="1"/>
  </si>
  <si>
    <t>②地形とのポリゴンとの当たり判定</t>
    <rPh sb="1" eb="3">
      <t>チケイ</t>
    </rPh>
    <rPh sb="11" eb="12">
      <t>ア</t>
    </rPh>
    <rPh sb="14" eb="16">
      <t>ハンテイ</t>
    </rPh>
    <phoneticPr fontId="1"/>
  </si>
  <si>
    <t>Set前に未来予測型の当たり判定をする</t>
    <rPh sb="3" eb="4">
      <t>マエ</t>
    </rPh>
    <rPh sb="5" eb="10">
      <t>ミライヨソクガタ</t>
    </rPh>
    <rPh sb="11" eb="12">
      <t>ア</t>
    </rPh>
    <rPh sb="14" eb="16">
      <t>ハンテイ</t>
    </rPh>
    <phoneticPr fontId="1"/>
  </si>
  <si>
    <t>(井上恋のプロジェクト参照)</t>
    <rPh sb="1" eb="3">
      <t>イノウエ</t>
    </rPh>
    <rPh sb="3" eb="4">
      <t>レン</t>
    </rPh>
    <rPh sb="11" eb="13">
      <t>サンショウ</t>
    </rPh>
    <phoneticPr fontId="1"/>
  </si>
  <si>
    <t>attack中の移動制限完了,PlayerStateParryのかけらを作った。次は、DashAttackを作ろうかなぁ。当たり判定を先にやってもいい</t>
    <rPh sb="6" eb="7">
      <t>チュウ</t>
    </rPh>
    <rPh sb="8" eb="12">
      <t>イドウセイゲン</t>
    </rPh>
    <rPh sb="12" eb="14">
      <t>カンリョウ</t>
    </rPh>
    <rPh sb="36" eb="37">
      <t>ツク</t>
    </rPh>
    <rPh sb="40" eb="41">
      <t>ツギ</t>
    </rPh>
    <rPh sb="54" eb="55">
      <t>ツク</t>
    </rPh>
    <rPh sb="61" eb="62">
      <t>ア</t>
    </rPh>
    <rPh sb="64" eb="66">
      <t>ハンテイ</t>
    </rPh>
    <rPh sb="67" eb="68">
      <t>サキ</t>
    </rPh>
    <phoneticPr fontId="1"/>
  </si>
  <si>
    <t>Enemyも作り始めたいけどさすがにPlayerがいろいろ終わった後かな</t>
    <rPh sb="6" eb="7">
      <t>ツク</t>
    </rPh>
    <rPh sb="8" eb="9">
      <t>ハジ</t>
    </rPh>
    <rPh sb="29" eb="30">
      <t>オ</t>
    </rPh>
    <rPh sb="33" eb="34">
      <t>アト</t>
    </rPh>
    <phoneticPr fontId="1"/>
  </si>
  <si>
    <t>アイドル</t>
    <phoneticPr fontId="1"/>
  </si>
  <si>
    <t>移動</t>
    <rPh sb="0" eb="2">
      <t>イドウ</t>
    </rPh>
    <phoneticPr fontId="1"/>
  </si>
  <si>
    <t>ジャンプ</t>
    <phoneticPr fontId="1"/>
  </si>
  <si>
    <t>回避</t>
    <rPh sb="0" eb="2">
      <t>カイヒ</t>
    </rPh>
    <phoneticPr fontId="1"/>
  </si>
  <si>
    <t>攻撃コンボノード</t>
    <rPh sb="0" eb="2">
      <t>コウゲキ</t>
    </rPh>
    <phoneticPr fontId="1"/>
  </si>
  <si>
    <t>弱5段</t>
    <rPh sb="0" eb="1">
      <t>ジャク</t>
    </rPh>
    <rPh sb="2" eb="3">
      <t>ダン</t>
    </rPh>
    <phoneticPr fontId="1"/>
  </si>
  <si>
    <t>強2段</t>
    <rPh sb="0" eb="1">
      <t>キョウ</t>
    </rPh>
    <rPh sb="2" eb="3">
      <t>ダン</t>
    </rPh>
    <phoneticPr fontId="1"/>
  </si>
  <si>
    <t>空中強攻撃1段</t>
    <rPh sb="0" eb="2">
      <t>クウチュウ</t>
    </rPh>
    <rPh sb="2" eb="5">
      <t>キョウコウゲキ</t>
    </rPh>
    <rPh sb="6" eb="7">
      <t>ダン</t>
    </rPh>
    <phoneticPr fontId="1"/>
  </si>
  <si>
    <t>連携攻撃２種</t>
    <rPh sb="0" eb="4">
      <t>レンケイコウゲキ</t>
    </rPh>
    <rPh sb="5" eb="6">
      <t>シュ</t>
    </rPh>
    <phoneticPr fontId="1"/>
  </si>
  <si>
    <t>いずな落とし</t>
    <rPh sb="3" eb="4">
      <t>オ</t>
    </rPh>
    <phoneticPr fontId="1"/>
  </si>
  <si>
    <t>2種</t>
    <rPh sb="1" eb="2">
      <t>シュ</t>
    </rPh>
    <phoneticPr fontId="1"/>
  </si>
  <si>
    <t>雑魚</t>
    <rPh sb="0" eb="2">
      <t>ザコ</t>
    </rPh>
    <phoneticPr fontId="1"/>
  </si>
  <si>
    <t>通常</t>
    <rPh sb="0" eb="2">
      <t>ツウジョウ</t>
    </rPh>
    <phoneticPr fontId="1"/>
  </si>
  <si>
    <t>ちょっと強い敵</t>
    <rPh sb="4" eb="5">
      <t>ツヨ</t>
    </rPh>
    <rPh sb="6" eb="7">
      <t>テキ</t>
    </rPh>
    <phoneticPr fontId="1"/>
  </si>
  <si>
    <t>1種</t>
    <rPh sb="1" eb="2">
      <t>シュ</t>
    </rPh>
    <phoneticPr fontId="1"/>
  </si>
  <si>
    <t>大ボス</t>
    <rPh sb="0" eb="1">
      <t>オオ</t>
    </rPh>
    <phoneticPr fontId="1"/>
  </si>
  <si>
    <t>中ボス</t>
    <rPh sb="0" eb="1">
      <t>チュウ</t>
    </rPh>
    <phoneticPr fontId="1"/>
  </si>
  <si>
    <t>X,Y,X,X,X,Y</t>
    <phoneticPr fontId="1"/>
  </si>
  <si>
    <t>短剣or剣持ち</t>
    <rPh sb="0" eb="2">
      <t>タンケン</t>
    </rPh>
    <rPh sb="4" eb="5">
      <t>ケン</t>
    </rPh>
    <rPh sb="5" eb="6">
      <t>モ</t>
    </rPh>
    <phoneticPr fontId="1"/>
  </si>
  <si>
    <t>空中攻撃</t>
    <rPh sb="0" eb="2">
      <t>クウチュウ</t>
    </rPh>
    <rPh sb="2" eb="4">
      <t>コウゲキ</t>
    </rPh>
    <phoneticPr fontId="1"/>
  </si>
  <si>
    <t>弱ボタン連携</t>
    <rPh sb="0" eb="1">
      <t>ジャク</t>
    </rPh>
    <rPh sb="4" eb="6">
      <t>レンケイ</t>
    </rPh>
    <phoneticPr fontId="1"/>
  </si>
  <si>
    <t>強ボタン連携</t>
    <rPh sb="0" eb="1">
      <t>キョウ</t>
    </rPh>
    <rPh sb="4" eb="6">
      <t>レンケイ</t>
    </rPh>
    <phoneticPr fontId="1"/>
  </si>
  <si>
    <t>攻撃仕様</t>
    <rPh sb="0" eb="2">
      <t>コウゲキ</t>
    </rPh>
    <rPh sb="2" eb="4">
      <t>シヨウ</t>
    </rPh>
    <phoneticPr fontId="1"/>
  </si>
  <si>
    <t>スキル技</t>
    <rPh sb="3" eb="4">
      <t>ワザ</t>
    </rPh>
    <phoneticPr fontId="1"/>
  </si>
  <si>
    <t>弱連携 2技</t>
    <rPh sb="0" eb="1">
      <t>ジャク</t>
    </rPh>
    <rPh sb="1" eb="3">
      <t>レンケイ</t>
    </rPh>
    <rPh sb="5" eb="6">
      <t>ワザ</t>
    </rPh>
    <phoneticPr fontId="1"/>
  </si>
  <si>
    <t>必殺技</t>
    <rPh sb="0" eb="3">
      <t>ヒッサツワザ</t>
    </rPh>
    <phoneticPr fontId="1"/>
  </si>
  <si>
    <t>強化状態</t>
    <rPh sb="0" eb="1">
      <t>キョウ</t>
    </rPh>
    <rPh sb="1" eb="2">
      <t>バ</t>
    </rPh>
    <rPh sb="2" eb="4">
      <t>ジョウタイ</t>
    </rPh>
    <phoneticPr fontId="1"/>
  </si>
  <si>
    <t>ため技で演出あり</t>
    <rPh sb="2" eb="3">
      <t>ワザ</t>
    </rPh>
    <rPh sb="4" eb="6">
      <t>エンシュツ</t>
    </rPh>
    <phoneticPr fontId="1"/>
  </si>
  <si>
    <t>連携技でするかは考え中</t>
    <rPh sb="0" eb="2">
      <t>レンケイ</t>
    </rPh>
    <rPh sb="2" eb="3">
      <t>ワザ</t>
    </rPh>
    <rPh sb="8" eb="9">
      <t>カンガ</t>
    </rPh>
    <rPh sb="10" eb="11">
      <t>チュウ</t>
    </rPh>
    <phoneticPr fontId="1"/>
  </si>
  <si>
    <t>溜めモードはするか悩み</t>
    <rPh sb="0" eb="1">
      <t>タ</t>
    </rPh>
    <rPh sb="9" eb="10">
      <t>ナヤ</t>
    </rPh>
    <phoneticPr fontId="1"/>
  </si>
  <si>
    <t>弱の横一閃</t>
    <rPh sb="0" eb="1">
      <t>ジャク</t>
    </rPh>
    <rPh sb="2" eb="3">
      <t>ヨコ</t>
    </rPh>
    <rPh sb="3" eb="5">
      <t>イッセン</t>
    </rPh>
    <phoneticPr fontId="1"/>
  </si>
  <si>
    <t>空中</t>
    <rPh sb="0" eb="2">
      <t>クウチュウ</t>
    </rPh>
    <phoneticPr fontId="1"/>
  </si>
  <si>
    <t>X,X,X,Y</t>
    <phoneticPr fontId="1"/>
  </si>
  <si>
    <t>X,X,Y</t>
    <phoneticPr fontId="1"/>
  </si>
  <si>
    <t>X,Y</t>
    <phoneticPr fontId="1"/>
  </si>
  <si>
    <t>Y</t>
    <phoneticPr fontId="1"/>
  </si>
  <si>
    <t>空中で敵がいなかったら敵の方向に追従する</t>
    <rPh sb="0" eb="2">
      <t>クウチュウ</t>
    </rPh>
    <rPh sb="3" eb="4">
      <t>テキ</t>
    </rPh>
    <rPh sb="11" eb="12">
      <t>テキ</t>
    </rPh>
    <rPh sb="13" eb="15">
      <t>ホウコウ</t>
    </rPh>
    <rPh sb="16" eb="18">
      <t>ツイジュウ</t>
    </rPh>
    <phoneticPr fontId="1"/>
  </si>
  <si>
    <t>TODO:NEXT</t>
    <phoneticPr fontId="1"/>
  </si>
  <si>
    <t>【血殺について】</t>
    <rPh sb="1" eb="2">
      <t>チ</t>
    </rPh>
    <rPh sb="2" eb="3">
      <t>サツ</t>
    </rPh>
    <phoneticPr fontId="1"/>
  </si>
  <si>
    <t>レンダリングを分けてシェーダーする</t>
    <rPh sb="7" eb="8">
      <t>ワ</t>
    </rPh>
    <phoneticPr fontId="1"/>
  </si>
  <si>
    <t>①背景</t>
    <rPh sb="1" eb="3">
      <t>ハイケイ</t>
    </rPh>
    <phoneticPr fontId="1"/>
  </si>
  <si>
    <t>②文字を描画</t>
    <rPh sb="0" eb="3">
      <t>2モジ</t>
    </rPh>
    <rPh sb="4" eb="6">
      <t>ビョウガ</t>
    </rPh>
    <phoneticPr fontId="1"/>
  </si>
  <si>
    <t>③キャラクターを表示</t>
    <rPh sb="8" eb="10">
      <t>ヒョウジ</t>
    </rPh>
    <phoneticPr fontId="1"/>
  </si>
  <si>
    <t>※エフェクトは白色に表示</t>
    <rPh sb="7" eb="9">
      <t>シロイロ</t>
    </rPh>
    <rPh sb="10" eb="12">
      <t>ヒョウジ</t>
    </rPh>
    <phoneticPr fontId="1"/>
  </si>
  <si>
    <t>dxLibをForEffeckseerにしないといけない</t>
    <phoneticPr fontId="1"/>
  </si>
  <si>
    <t>空中攻撃4段</t>
    <rPh sb="0" eb="2">
      <t>クウチュウ</t>
    </rPh>
    <rPh sb="2" eb="4">
      <t>コウゲキ</t>
    </rPh>
    <rPh sb="5" eb="6">
      <t>ダン</t>
    </rPh>
    <phoneticPr fontId="1"/>
  </si>
  <si>
    <t>X,X,X,X</t>
    <phoneticPr fontId="1"/>
  </si>
  <si>
    <t>いずなおとし</t>
    <phoneticPr fontId="1"/>
  </si>
  <si>
    <t>砲台</t>
    <rPh sb="0" eb="2">
      <t>ホウダイ</t>
    </rPh>
    <phoneticPr fontId="1"/>
  </si>
  <si>
    <t>空中で攻撃を行ったら、カメラが前に近づく</t>
    <rPh sb="0" eb="2">
      <t>クウチュウ</t>
    </rPh>
    <rPh sb="3" eb="5">
      <t>コウゲキ</t>
    </rPh>
    <rPh sb="6" eb="7">
      <t>オコナ</t>
    </rPh>
    <rPh sb="15" eb="16">
      <t>マエ</t>
    </rPh>
    <rPh sb="17" eb="18">
      <t>チカ</t>
    </rPh>
    <phoneticPr fontId="1"/>
  </si>
  <si>
    <t>攻撃を行ったら、カメラが斜め方向になる</t>
    <rPh sb="0" eb="2">
      <t>コウゲキ</t>
    </rPh>
    <rPh sb="3" eb="4">
      <t>イ</t>
    </rPh>
    <rPh sb="12" eb="13">
      <t>ナナ</t>
    </rPh>
    <rPh sb="14" eb="16">
      <t>ホウコウ</t>
    </rPh>
    <phoneticPr fontId="1"/>
  </si>
  <si>
    <t>基本的に弱攻撃からの強攻撃は空中攻撃を派生</t>
    <rPh sb="0" eb="3">
      <t>キホンテキ</t>
    </rPh>
    <rPh sb="4" eb="7">
      <t>ジャクコウゲキ</t>
    </rPh>
    <rPh sb="10" eb="11">
      <t>キョウ</t>
    </rPh>
    <rPh sb="11" eb="13">
      <t>コウゲキ</t>
    </rPh>
    <rPh sb="14" eb="16">
      <t>クウチュウ</t>
    </rPh>
    <rPh sb="16" eb="18">
      <t>コウゲキ</t>
    </rPh>
    <rPh sb="19" eb="21">
      <t>ハセイ</t>
    </rPh>
    <phoneticPr fontId="1"/>
  </si>
  <si>
    <t>2段目、3段目、4段目時切り上げ</t>
    <rPh sb="1" eb="3">
      <t>ダンメ</t>
    </rPh>
    <rPh sb="5" eb="7">
      <t>ダンメ</t>
    </rPh>
    <rPh sb="9" eb="11">
      <t>ダンメ</t>
    </rPh>
    <rPh sb="11" eb="12">
      <t>ジ</t>
    </rPh>
    <rPh sb="12" eb="13">
      <t>キ</t>
    </rPh>
    <rPh sb="14" eb="15">
      <t>ア</t>
    </rPh>
    <phoneticPr fontId="1"/>
  </si>
  <si>
    <t>カメラを攻撃切り上げ時に空中にカメラが行くようにする</t>
    <rPh sb="4" eb="6">
      <t>コウゲキ</t>
    </rPh>
    <rPh sb="6" eb="7">
      <t>キ</t>
    </rPh>
    <rPh sb="8" eb="9">
      <t>ア</t>
    </rPh>
    <rPh sb="10" eb="11">
      <t>ジ</t>
    </rPh>
    <rPh sb="12" eb="14">
      <t>クウチュウ</t>
    </rPh>
    <rPh sb="19" eb="20">
      <t>イ</t>
    </rPh>
    <phoneticPr fontId="1"/>
  </si>
  <si>
    <t>CG要望</t>
    <rPh sb="2" eb="4">
      <t>ヨウボウ</t>
    </rPh>
    <phoneticPr fontId="1"/>
  </si>
  <si>
    <t>地上5段</t>
    <rPh sb="0" eb="2">
      <t>チジョウ</t>
    </rPh>
    <rPh sb="3" eb="4">
      <t>ダン</t>
    </rPh>
    <phoneticPr fontId="1"/>
  </si>
  <si>
    <t>スキル3段攻撃</t>
    <rPh sb="4" eb="5">
      <t>ダン</t>
    </rPh>
    <rPh sb="5" eb="7">
      <t>コウゲキ</t>
    </rPh>
    <phoneticPr fontId="1"/>
  </si>
  <si>
    <t>空中は触ってみる</t>
    <rPh sb="0" eb="2">
      <t>クウチュウ</t>
    </rPh>
    <rPh sb="3" eb="4">
      <t>サワ</t>
    </rPh>
    <phoneticPr fontId="1"/>
  </si>
  <si>
    <t>スキル強攻撃（一旦一つ）</t>
    <rPh sb="3" eb="6">
      <t>キョウコウゲキ</t>
    </rPh>
    <rPh sb="7" eb="10">
      <t>イッタンヒト</t>
    </rPh>
    <phoneticPr fontId="1"/>
  </si>
  <si>
    <t>敵の仕様書</t>
    <rPh sb="0" eb="1">
      <t>テキ</t>
    </rPh>
    <rPh sb="2" eb="5">
      <t>シヨウショ</t>
    </rPh>
    <phoneticPr fontId="1"/>
  </si>
  <si>
    <t>playerの仕様書</t>
    <rPh sb="7" eb="10">
      <t>シヨウショ</t>
    </rPh>
    <phoneticPr fontId="1"/>
  </si>
  <si>
    <t>忍者外電4　敵キャラ         攻撃種</t>
  </si>
  <si>
    <t>・龍神党尖兵(大砲)</t>
  </si>
  <si>
    <t>技1つ</t>
  </si>
  <si>
    <t>・龍神党尖兵(なぎなた)　　　薙刀分回し(4連攻撃)、牙突攻撃(重め)</t>
  </si>
  <si>
    <t>・龍神党尖兵(飛行)</t>
  </si>
  <si>
    <t>・・龍神党兵長(銃)</t>
  </si>
  <si>
    <t>・・龍神党兵長(手裏剣)</t>
  </si>
  <si>
    <t>・飛天狗(銭杖)　　　　　　鎌の２連攻撃、空を飛ぶ</t>
  </si>
  <si>
    <t>・飛天狗(扇)</t>
  </si>
  <si>
    <t>遠距離キャラ、中身は銃と一緒</t>
  </si>
  <si>
    <t>・大飛天狗</t>
  </si>
  <si>
    <t>近距離6連撃、2連撃、牙突など龍神党兵長に似た感じ</t>
  </si>
  <si>
    <t>・童子(鉈)　　　</t>
  </si>
  <si>
    <t>4パターンぐらい、全部近接、3コンボ(蹴り飛ばし)、6コンボなど</t>
  </si>
  <si>
    <t>・童子(刀)</t>
  </si>
  <si>
    <t>大剣を持っている、大ぶりな攻撃がおおい</t>
  </si>
  <si>
    <t>・龍神党尖兵(刀)　　　　　　2,4種ぐらい</t>
    <phoneticPr fontId="1"/>
  </si>
  <si>
    <t>龍神党尖兵(刀)　</t>
  </si>
  <si>
    <t>・雑魚敵</t>
    <rPh sb="1" eb="4">
      <t>ザコテキ</t>
    </rPh>
    <phoneticPr fontId="1"/>
  </si>
  <si>
    <t>・中ボス</t>
    <rPh sb="1" eb="2">
      <t>チュウ</t>
    </rPh>
    <phoneticPr fontId="1"/>
  </si>
  <si>
    <t>・ちょっと強い敵</t>
    <rPh sb="5" eb="6">
      <t>ツヨ</t>
    </rPh>
    <rPh sb="7" eb="8">
      <t>テキ</t>
    </rPh>
    <phoneticPr fontId="1"/>
  </si>
  <si>
    <t>童子</t>
    <rPh sb="0" eb="1">
      <t>ワラベ</t>
    </rPh>
    <rPh sb="1" eb="2">
      <t>コ</t>
    </rPh>
    <phoneticPr fontId="1"/>
  </si>
  <si>
    <t>・龍神党兵長(刀)　</t>
    <phoneticPr fontId="1"/>
  </si>
  <si>
    <t>　　遠距離技、近距離技2種(1combo,3comboの剣)</t>
    <phoneticPr fontId="1"/>
  </si>
  <si>
    <t>龍神党兵長(刀)　</t>
  </si>
  <si>
    <t>ボス</t>
    <phoneticPr fontId="1"/>
  </si>
  <si>
    <t>1-1のボス</t>
    <phoneticPr fontId="1"/>
  </si>
  <si>
    <t>・龍神党尖兵(銃)　　　　　　2種、近距離技一つと銃技1つ</t>
    <phoneticPr fontId="1"/>
  </si>
  <si>
    <t>龍神党尖兵(銃)　</t>
  </si>
  <si>
    <t>S</t>
    <phoneticPr fontId="1"/>
  </si>
  <si>
    <t>A</t>
    <phoneticPr fontId="1"/>
  </si>
  <si>
    <t>B</t>
    <phoneticPr fontId="1"/>
  </si>
  <si>
    <t>EnemyBase</t>
    <phoneticPr fontId="1"/>
  </si>
  <si>
    <t>警戒態勢</t>
    <rPh sb="0" eb="4">
      <t>ケイカイタイセイ</t>
    </rPh>
    <phoneticPr fontId="1"/>
  </si>
  <si>
    <t>Enemy１</t>
    <phoneticPr fontId="1"/>
  </si>
  <si>
    <t>距離とり</t>
    <rPh sb="0" eb="2">
      <t>キョリ</t>
    </rPh>
    <phoneticPr fontId="1"/>
  </si>
  <si>
    <t>Enemy2</t>
    <phoneticPr fontId="1"/>
  </si>
  <si>
    <t>遠距離攻撃</t>
    <rPh sb="0" eb="5">
      <t>エンキョリコウゲキ</t>
    </rPh>
    <phoneticPr fontId="1"/>
  </si>
  <si>
    <t>近距離攻撃</t>
    <rPh sb="0" eb="3">
      <t>キンキョリ</t>
    </rPh>
    <rPh sb="3" eb="5">
      <t>コウゲキ</t>
    </rPh>
    <phoneticPr fontId="1"/>
  </si>
  <si>
    <t>Enemy3</t>
    <phoneticPr fontId="1"/>
  </si>
  <si>
    <t>近距離攻撃</t>
    <rPh sb="0" eb="5">
      <t>キンキョリコウゲキ</t>
    </rPh>
    <phoneticPr fontId="1"/>
  </si>
  <si>
    <t>pに近づく</t>
    <rPh sb="2" eb="3">
      <t>チカ</t>
    </rPh>
    <phoneticPr fontId="1"/>
  </si>
  <si>
    <t>追いかける</t>
    <rPh sb="0" eb="1">
      <t>オ</t>
    </rPh>
    <phoneticPr fontId="1"/>
  </si>
  <si>
    <t>ばくすて</t>
    <phoneticPr fontId="1"/>
  </si>
  <si>
    <t>攻撃→ばくすて</t>
    <rPh sb="0" eb="2">
      <t>コウゲキ</t>
    </rPh>
    <phoneticPr fontId="1"/>
  </si>
  <si>
    <t>おいかける→攻撃</t>
    <rPh sb="6" eb="8">
      <t>コウゲキ</t>
    </rPh>
    <phoneticPr fontId="1"/>
  </si>
  <si>
    <t>警戒→攻撃or追いかける</t>
    <rPh sb="0" eb="2">
      <t>ケイカイ</t>
    </rPh>
    <rPh sb="3" eb="5">
      <t>コウゲキ</t>
    </rPh>
    <rPh sb="7" eb="8">
      <t>オ</t>
    </rPh>
    <phoneticPr fontId="1"/>
  </si>
  <si>
    <t>攻撃後、硬直あり</t>
    <rPh sb="0" eb="2">
      <t>コウゲキ</t>
    </rPh>
    <rPh sb="2" eb="3">
      <t>ゴ</t>
    </rPh>
    <rPh sb="4" eb="6">
      <t>コウチョク</t>
    </rPh>
    <phoneticPr fontId="1"/>
  </si>
  <si>
    <t>アイドル→</t>
    <phoneticPr fontId="1"/>
  </si>
  <si>
    <t>攻撃、警戒、バクステ、警戒のランダム</t>
    <rPh sb="0" eb="2">
      <t>コウゲキ</t>
    </rPh>
    <rPh sb="3" eb="5">
      <t>ケイカイ</t>
    </rPh>
    <rPh sb="11" eb="13">
      <t>ケイカイ</t>
    </rPh>
    <phoneticPr fontId="1"/>
  </si>
  <si>
    <t>攻撃のノックバックにXZ方面(正面)、Y軸(上方向)の二つを用意、それで切り上げ攻撃、切り下げ攻撃などを対応する</t>
    <rPh sb="0" eb="2">
      <t>コウゲキ</t>
    </rPh>
    <rPh sb="12" eb="14">
      <t>ホウメン</t>
    </rPh>
    <rPh sb="15" eb="17">
      <t>ショウメン</t>
    </rPh>
    <rPh sb="20" eb="21">
      <t>ジク</t>
    </rPh>
    <rPh sb="22" eb="25">
      <t>ウエホウコウ</t>
    </rPh>
    <rPh sb="27" eb="28">
      <t>フタ</t>
    </rPh>
    <rPh sb="30" eb="32">
      <t>ヨウイ</t>
    </rPh>
    <rPh sb="36" eb="37">
      <t>キ</t>
    </rPh>
    <rPh sb="38" eb="39">
      <t>ア</t>
    </rPh>
    <rPh sb="40" eb="42">
      <t>コウゲキ</t>
    </rPh>
    <rPh sb="43" eb="44">
      <t>キ</t>
    </rPh>
    <rPh sb="52" eb="54">
      <t>タイオウ</t>
    </rPh>
    <phoneticPr fontId="1"/>
  </si>
  <si>
    <t>攻撃のデータ</t>
    <rPh sb="0" eb="2">
      <t>コウゲキ</t>
    </rPh>
    <phoneticPr fontId="1"/>
  </si>
  <si>
    <t>攻撃力</t>
    <rPh sb="0" eb="3">
      <t>コウゲキリョク</t>
    </rPh>
    <phoneticPr fontId="1"/>
  </si>
  <si>
    <t>ノックバック</t>
    <phoneticPr fontId="1"/>
  </si>
  <si>
    <t>敵との当たり判定をする</t>
    <rPh sb="0" eb="1">
      <t>テキ</t>
    </rPh>
    <rPh sb="3" eb="4">
      <t>ア</t>
    </rPh>
    <rPh sb="6" eb="8">
      <t>ハンテイ</t>
    </rPh>
    <phoneticPr fontId="1"/>
  </si>
  <si>
    <t>スキル、必殺技の演出を先にする</t>
    <rPh sb="4" eb="7">
      <t>ヒッサツワザ</t>
    </rPh>
    <rPh sb="8" eb="10">
      <t>エンシュツ</t>
    </rPh>
    <rPh sb="11" eb="12">
      <t>サキ</t>
    </rPh>
    <phoneticPr fontId="1"/>
  </si>
  <si>
    <t>HItColのクラスを持たせて</t>
    <rPh sb="11" eb="12">
      <t>モ</t>
    </rPh>
    <phoneticPr fontId="1"/>
  </si>
  <si>
    <t>当たったらPlayerに検知させる</t>
    <rPh sb="0" eb="1">
      <t>ア</t>
    </rPh>
    <rPh sb="12" eb="14">
      <t>ケンチ</t>
    </rPh>
    <phoneticPr fontId="1"/>
  </si>
  <si>
    <t>吹っ飛ばし方の種類</t>
    <rPh sb="0" eb="1">
      <t>フ</t>
    </rPh>
    <rPh sb="2" eb="3">
      <t>ト</t>
    </rPh>
    <rPh sb="5" eb="6">
      <t>カタ</t>
    </rPh>
    <rPh sb="7" eb="9">
      <t>シュルイ</t>
    </rPh>
    <phoneticPr fontId="1"/>
  </si>
  <si>
    <t>それ用のクラスを作る</t>
    <rPh sb="2" eb="3">
      <t>ヨウ</t>
    </rPh>
    <rPh sb="8" eb="9">
      <t>ツク</t>
    </rPh>
    <phoneticPr fontId="1"/>
  </si>
  <si>
    <t>初期装備</t>
    <rPh sb="0" eb="4">
      <t>ショキソウビ</t>
    </rPh>
    <phoneticPr fontId="1"/>
  </si>
  <si>
    <t>攻撃クラスを作る</t>
    <rPh sb="0" eb="2">
      <t>コウゲキ</t>
    </rPh>
    <rPh sb="6" eb="7">
      <t>ツク</t>
    </rPh>
    <phoneticPr fontId="1"/>
  </si>
  <si>
    <t>派生図を作る</t>
    <rPh sb="0" eb="2">
      <t>ハセイ</t>
    </rPh>
    <rPh sb="2" eb="3">
      <t>ズ</t>
    </rPh>
    <rPh sb="4" eb="5">
      <t>ツク</t>
    </rPh>
    <phoneticPr fontId="1"/>
  </si>
  <si>
    <t>地上</t>
    <rPh sb="0" eb="2">
      <t>チジョウ</t>
    </rPh>
    <phoneticPr fontId="1"/>
  </si>
  <si>
    <t>敵から離れるため終了</t>
    <rPh sb="0" eb="1">
      <t>テキ</t>
    </rPh>
    <rPh sb="3" eb="4">
      <t>ハナ</t>
    </rPh>
    <rPh sb="8" eb="10">
      <t>シュウリョウ</t>
    </rPh>
    <phoneticPr fontId="1"/>
  </si>
  <si>
    <t>そばに敵がいない場合、近くの敵に向かって急降下していく</t>
    <rPh sb="3" eb="4">
      <t>テキ</t>
    </rPh>
    <rPh sb="8" eb="10">
      <t>バアイ</t>
    </rPh>
    <rPh sb="11" eb="12">
      <t>チカ</t>
    </rPh>
    <rPh sb="14" eb="15">
      <t>テキ</t>
    </rPh>
    <rPh sb="16" eb="17">
      <t>ム</t>
    </rPh>
    <rPh sb="20" eb="23">
      <t>キュウコウカ</t>
    </rPh>
    <phoneticPr fontId="1"/>
  </si>
  <si>
    <t>それもいなかったらまっすぐ</t>
    <phoneticPr fontId="1"/>
  </si>
  <si>
    <t>HItColとAttackColを作った。AttackColは途中、AttackColを作りつつ、終わったら、Player,Enemyに持たせて初期化させて使う。カプセル型Colliderの勉強や、Boxの当たり判定を使うことを考える</t>
    <rPh sb="17" eb="18">
      <t>ツク</t>
    </rPh>
    <rPh sb="31" eb="33">
      <t>トチュウ</t>
    </rPh>
    <rPh sb="44" eb="45">
      <t>ツク</t>
    </rPh>
    <rPh sb="49" eb="50">
      <t>オ</t>
    </rPh>
    <rPh sb="68" eb="69">
      <t>モ</t>
    </rPh>
    <rPh sb="72" eb="75">
      <t>ショキカ</t>
    </rPh>
    <rPh sb="78" eb="79">
      <t>ツカ</t>
    </rPh>
    <rPh sb="85" eb="86">
      <t>ガタ</t>
    </rPh>
    <rPh sb="95" eb="97">
      <t>ベンキョウ</t>
    </rPh>
    <rPh sb="103" eb="104">
      <t>ア</t>
    </rPh>
    <rPh sb="106" eb="108">
      <t>ハンテイ</t>
    </rPh>
    <rPh sb="109" eb="110">
      <t>ツカ</t>
    </rPh>
    <rPh sb="114" eb="115">
      <t>カンガ</t>
    </rPh>
    <phoneticPr fontId="1"/>
  </si>
  <si>
    <t>ColのUpdateをCollsionManagerでやりたいけど、責務が重すぎるかなって思って、それぞれでやったがいいのか、悩む</t>
    <rPh sb="34" eb="36">
      <t>セキム</t>
    </rPh>
    <rPh sb="37" eb="38">
      <t>オモ</t>
    </rPh>
    <rPh sb="45" eb="46">
      <t>オモ</t>
    </rPh>
    <rPh sb="63" eb="64">
      <t>ナヤ</t>
    </rPh>
    <phoneticPr fontId="1"/>
  </si>
  <si>
    <t>CollsionManagerのUpdateをする、コンボチェーンにいろいろ追加したけどプログラミングのほうでは追加してないからしないといけない、</t>
    <rPh sb="38" eb="40">
      <t>ツイカ</t>
    </rPh>
    <rPh sb="56" eb="58">
      <t>ツイカ</t>
    </rPh>
    <phoneticPr fontId="1"/>
  </si>
  <si>
    <t>それは終わった、次は速度をmapにして、いろいろ修正、追加できるようにしている途中、unorderd_mapでvelをやってて、今CollisionManagerとの</t>
    <rPh sb="3" eb="4">
      <t>オ</t>
    </rPh>
    <rPh sb="8" eb="9">
      <t>ツギ</t>
    </rPh>
    <rPh sb="10" eb="12">
      <t>ソクド</t>
    </rPh>
    <rPh sb="24" eb="26">
      <t>シュウセイ</t>
    </rPh>
    <rPh sb="27" eb="29">
      <t>ツイカ</t>
    </rPh>
    <rPh sb="39" eb="41">
      <t>トチュウ</t>
    </rPh>
    <rPh sb="64" eb="65">
      <t>イマ</t>
    </rPh>
    <phoneticPr fontId="1"/>
  </si>
  <si>
    <t>当たり判定の取り方をもう一度見直しているところ、そこが終わったら、敵が吹っ飛ばせるようになって、って感じ</t>
    <rPh sb="0" eb="1">
      <t>ア</t>
    </rPh>
    <rPh sb="3" eb="5">
      <t>ハンテイ</t>
    </rPh>
    <rPh sb="6" eb="7">
      <t>ト</t>
    </rPh>
    <rPh sb="8" eb="9">
      <t>カタ</t>
    </rPh>
    <rPh sb="12" eb="16">
      <t>イチドミナオ</t>
    </rPh>
    <rPh sb="27" eb="28">
      <t>オ</t>
    </rPh>
    <rPh sb="33" eb="34">
      <t>テキ</t>
    </rPh>
    <rPh sb="35" eb="36">
      <t>フ</t>
    </rPh>
    <rPh sb="37" eb="38">
      <t>ト</t>
    </rPh>
    <rPh sb="50" eb="51">
      <t>カン</t>
    </rPh>
    <phoneticPr fontId="1"/>
  </si>
  <si>
    <t>↑のやり方でやろうとしたけど、無理そうだったので、やめる（プロジェクト分けたので、研究用として後ほど）</t>
    <rPh sb="4" eb="5">
      <t>カタ</t>
    </rPh>
    <rPh sb="15" eb="17">
      <t>ムリ</t>
    </rPh>
    <rPh sb="35" eb="36">
      <t>ワ</t>
    </rPh>
    <rPh sb="41" eb="43">
      <t>ケンキュウ</t>
    </rPh>
    <rPh sb="43" eb="44">
      <t>ヨウ</t>
    </rPh>
    <rPh sb="47" eb="48">
      <t>ノチ</t>
    </rPh>
    <phoneticPr fontId="1"/>
  </si>
  <si>
    <t>敵のOnDamage内で、m_velじゃなくて、knockBackVelに入れて、減衰させる（プレイヤーと同じ感じでする）</t>
    <rPh sb="0" eb="1">
      <t>テキ</t>
    </rPh>
    <rPh sb="10" eb="11">
      <t>ナイ</t>
    </rPh>
    <rPh sb="37" eb="38">
      <t>イ</t>
    </rPh>
    <rPh sb="41" eb="43">
      <t>ゲンスイ</t>
    </rPh>
    <rPh sb="53" eb="54">
      <t>オナ</t>
    </rPh>
    <rPh sb="55" eb="56">
      <t>カン</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</si>
</sst>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_);[Red]\(0\)"/>
    <numFmt numFmtId="177" formatCode="0.000"/>
  </numFmts>
  <fonts count="7">
    <font>
      <sz val="11"/>
      <color theme="1"/>
      <name val="Yu Gothic"/>
      <family val="2"/>
      <scheme val="minor"/>
    </font>
    <font>
      <sz val="6"/>
      <name val="Yu Gothic"/>
      <family val="3"/>
      <charset val="128"/>
      <scheme val="minor"/>
    </font>
    <font>
      <b/>
      <sz val="11"/>
      <color theme="1"/>
      <name val="Yu Gothic"/>
      <family val="3"/>
      <charset val="128"/>
      <scheme val="minor"/>
    </font>
    <font>
      <sz val="11"/>
      <color rgb="FFFF0000"/>
      <name val="Yu Gothic"/>
      <family val="2"/>
      <scheme val="minor"/>
    </font>
    <font>
      <b/>
      <sz val="11"/>
      <color theme="0"/>
      <name val="Yu Gothic"/>
      <family val="3"/>
      <charset val="128"/>
      <scheme val="minor"/>
    </font>
    <font>
      <sz val="11"/>
      <color theme="1"/>
      <name val="Yu Gothic"/>
      <family val="2"/>
      <scheme val="minor"/>
    </font>
    <font>
      <sz val="11"/>
      <color theme="5" tint="0.59999389629810485"/>
      <name val="Yu Gothic"/>
      <family val="2"/>
      <scheme val="minor"/>
    </font>
  </fonts>
  <fills count="27">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theme="7"/>
        <bgColor indexed="64"/>
      </patternFill>
    </fill>
    <fill>
      <patternFill patternType="solid">
        <fgColor rgb="FF92D050"/>
        <bgColor indexed="64"/>
      </patternFill>
    </fill>
    <fill>
      <patternFill patternType="solid">
        <fgColor rgb="FF00B0F0"/>
        <bgColor indexed="64"/>
      </patternFill>
    </fill>
    <fill>
      <patternFill patternType="solid">
        <fgColor rgb="FFFFC000"/>
        <bgColor indexed="64"/>
      </patternFill>
    </fill>
    <fill>
      <patternFill patternType="solid">
        <fgColor theme="5" tint="0.39997558519241921"/>
        <bgColor indexed="64"/>
      </patternFill>
    </fill>
    <fill>
      <patternFill patternType="solid">
        <fgColor theme="2" tint="-9.9978637043366805E-2"/>
        <bgColor indexed="64"/>
      </patternFill>
    </fill>
    <fill>
      <patternFill patternType="solid">
        <fgColor theme="0"/>
        <bgColor indexed="64"/>
      </patternFill>
    </fill>
    <fill>
      <patternFill patternType="solid">
        <fgColor rgb="FFC198E0"/>
        <bgColor indexed="64"/>
      </patternFill>
    </fill>
    <fill>
      <patternFill patternType="solid">
        <fgColor theme="4" tint="-0.499984740745262"/>
        <bgColor indexed="64"/>
      </patternFill>
    </fill>
    <fill>
      <patternFill patternType="solid">
        <fgColor rgb="FF00FFCC"/>
        <bgColor indexed="64"/>
      </patternFill>
    </fill>
    <fill>
      <patternFill patternType="solid">
        <fgColor rgb="FF00FF00"/>
        <bgColor indexed="64"/>
      </patternFill>
    </fill>
    <fill>
      <patternFill patternType="solid">
        <fgColor rgb="FFCC6600"/>
        <bgColor indexed="64"/>
      </patternFill>
    </fill>
    <fill>
      <patternFill patternType="solid">
        <fgColor rgb="FF33CCFF"/>
        <bgColor indexed="64"/>
      </patternFill>
    </fill>
    <fill>
      <patternFill patternType="solid">
        <fgColor rgb="FFFF99CC"/>
        <bgColor indexed="64"/>
      </patternFill>
    </fill>
    <fill>
      <patternFill patternType="solid">
        <fgColor rgb="FF9933FF"/>
        <bgColor indexed="64"/>
      </patternFill>
    </fill>
    <fill>
      <patternFill patternType="solid">
        <fgColor rgb="FFFFFFCC"/>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0" tint="-0.499984740745262"/>
        <bgColor indexed="64"/>
      </patternFill>
    </fill>
    <fill>
      <patternFill patternType="solid">
        <fgColor theme="1"/>
        <bgColor indexed="64"/>
      </patternFill>
    </fill>
    <fill>
      <patternFill patternType="solid">
        <fgColor theme="2" tint="-0.249977111117893"/>
        <bgColor indexed="64"/>
      </patternFill>
    </fill>
    <fill>
      <patternFill patternType="solid">
        <fgColor theme="0" tint="-0.14999847407452621"/>
        <bgColor indexed="64"/>
      </patternFill>
    </fill>
    <fill>
      <patternFill patternType="solid">
        <fgColor theme="4" tint="0.39997558519241921"/>
        <bgColor indexed="64"/>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2">
    <xf numFmtId="0" fontId="0" fillId="0" borderId="0"/>
    <xf numFmtId="9" fontId="5" fillId="0" borderId="0" applyFont="0" applyFill="0" applyBorder="0" applyAlignment="0" applyProtection="0">
      <alignment vertical="center"/>
    </xf>
  </cellStyleXfs>
  <cellXfs count="50">
    <xf numFmtId="0" fontId="0" fillId="0" borderId="0" xfId="0"/>
    <xf numFmtId="56" fontId="0" fillId="0" borderId="0" xfId="0" applyNumberFormat="1"/>
    <xf numFmtId="176" fontId="0" fillId="0" borderId="0" xfId="0" applyNumberFormat="1"/>
    <xf numFmtId="177" fontId="0" fillId="0" borderId="0" xfId="0" applyNumberFormat="1"/>
    <xf numFmtId="0" fontId="0" fillId="5" borderId="1" xfId="0" applyFill="1" applyBorder="1"/>
    <xf numFmtId="0" fontId="0" fillId="7" borderId="1" xfId="0" applyFill="1" applyBorder="1"/>
    <xf numFmtId="0" fontId="0" fillId="6" borderId="1" xfId="0" applyFill="1" applyBorder="1"/>
    <xf numFmtId="0" fontId="0" fillId="8" borderId="1" xfId="0" applyFill="1" applyBorder="1"/>
    <xf numFmtId="0" fontId="0" fillId="9" borderId="1" xfId="0" applyFill="1" applyBorder="1"/>
    <xf numFmtId="0" fontId="0" fillId="4" borderId="1" xfId="0" applyFill="1" applyBorder="1"/>
    <xf numFmtId="0" fontId="0" fillId="10" borderId="2" xfId="0" applyFill="1" applyBorder="1"/>
    <xf numFmtId="0" fontId="0" fillId="0" borderId="2" xfId="0" applyBorder="1"/>
    <xf numFmtId="0" fontId="3" fillId="4" borderId="2" xfId="0" applyFont="1" applyFill="1" applyBorder="1"/>
    <xf numFmtId="0" fontId="0" fillId="11" borderId="2" xfId="0" applyFill="1" applyBorder="1"/>
    <xf numFmtId="0" fontId="4" fillId="12" borderId="2" xfId="0" applyFont="1" applyFill="1" applyBorder="1"/>
    <xf numFmtId="0" fontId="4" fillId="12" borderId="2" xfId="0" applyFont="1" applyFill="1" applyBorder="1" applyAlignment="1">
      <alignment horizontal="center" vertical="center"/>
    </xf>
    <xf numFmtId="0" fontId="0" fillId="10" borderId="2" xfId="0" applyFill="1" applyBorder="1" applyAlignment="1">
      <alignment horizontal="center" vertical="center"/>
    </xf>
    <xf numFmtId="0" fontId="0" fillId="13" borderId="2" xfId="0" applyFill="1" applyBorder="1"/>
    <xf numFmtId="0" fontId="0" fillId="14" borderId="2" xfId="0" applyFill="1" applyBorder="1"/>
    <xf numFmtId="0" fontId="0" fillId="7" borderId="2" xfId="0" applyFill="1" applyBorder="1"/>
    <xf numFmtId="0" fontId="0" fillId="15" borderId="2" xfId="0" applyFill="1" applyBorder="1"/>
    <xf numFmtId="0" fontId="0" fillId="17" borderId="2" xfId="0" applyFill="1" applyBorder="1"/>
    <xf numFmtId="0" fontId="0" fillId="18" borderId="2" xfId="0" applyFill="1" applyBorder="1"/>
    <xf numFmtId="0" fontId="0" fillId="19" borderId="2" xfId="0" applyFill="1" applyBorder="1"/>
    <xf numFmtId="56" fontId="0" fillId="0" borderId="2" xfId="0" applyNumberFormat="1" applyBorder="1"/>
    <xf numFmtId="0" fontId="2" fillId="10" borderId="2" xfId="0" applyFont="1" applyFill="1" applyBorder="1" applyAlignment="1">
      <alignment horizontal="center" vertical="center"/>
    </xf>
    <xf numFmtId="0" fontId="2" fillId="20" borderId="2" xfId="0" applyFont="1" applyFill="1" applyBorder="1"/>
    <xf numFmtId="0" fontId="2" fillId="21" borderId="2" xfId="0" applyFont="1" applyFill="1" applyBorder="1"/>
    <xf numFmtId="0" fontId="2" fillId="16" borderId="2" xfId="0" applyFont="1" applyFill="1" applyBorder="1"/>
    <xf numFmtId="0" fontId="0" fillId="10" borderId="2" xfId="1" applyNumberFormat="1" applyFont="1" applyFill="1" applyBorder="1" applyAlignment="1"/>
    <xf numFmtId="0" fontId="0" fillId="3" borderId="2" xfId="0" applyFill="1" applyBorder="1"/>
    <xf numFmtId="0" fontId="0" fillId="2" borderId="2" xfId="0" applyFill="1" applyBorder="1"/>
    <xf numFmtId="0" fontId="0" fillId="10" borderId="0" xfId="0" applyFill="1"/>
    <xf numFmtId="0" fontId="6" fillId="8" borderId="2" xfId="0" applyFont="1" applyFill="1" applyBorder="1"/>
    <xf numFmtId="0" fontId="0" fillId="22" borderId="2" xfId="0" applyFill="1" applyBorder="1"/>
    <xf numFmtId="0" fontId="0" fillId="3" borderId="0" xfId="0" applyFill="1"/>
    <xf numFmtId="0" fontId="0" fillId="22" borderId="0" xfId="0" applyFill="1"/>
    <xf numFmtId="0" fontId="0" fillId="16" borderId="2" xfId="0" applyFill="1" applyBorder="1"/>
    <xf numFmtId="0" fontId="0" fillId="23" borderId="2" xfId="0" applyFill="1" applyBorder="1"/>
    <xf numFmtId="0" fontId="0" fillId="24" borderId="2" xfId="0" applyFill="1" applyBorder="1"/>
    <xf numFmtId="0" fontId="0" fillId="25" borderId="0" xfId="0" applyFill="1"/>
    <xf numFmtId="0" fontId="0" fillId="26" borderId="0" xfId="0" applyFill="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cellXfs>
  <cellStyles count="2">
    <cellStyle name="パーセント" xfId="1" builtinId="5"/>
    <cellStyle name="標準" xfId="0" builtinId="0"/>
  </cellStyles>
  <dxfs count="0"/>
  <tableStyles count="0" defaultTableStyle="TableStyleMedium2" defaultPivotStyle="PivotStyleLight16"/>
  <colors>
    <mruColors>
      <color rgb="FF33CCFF"/>
      <color rgb="FF99FF33"/>
      <color rgb="FFFFFFCC"/>
      <color rgb="FF9933FF"/>
      <color rgb="FFFF3300"/>
      <color rgb="FFCC9900"/>
      <color rgb="FFFF99CC"/>
      <color rgb="FF0099CC"/>
      <color rgb="FFCC6600"/>
      <color rgb="FFC198E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drawings/drawing1.xml><?xml version="1.0" encoding="utf-8"?>
<xdr:wsDr xmlns:xdr="http://schemas.openxmlformats.org/drawingml/2006/spreadsheetDrawing" xmlns:a="http://schemas.openxmlformats.org/drawingml/2006/main">
  <xdr:twoCellAnchor>
    <xdr:from>
      <xdr:col>2</xdr:col>
      <xdr:colOff>152400</xdr:colOff>
      <xdr:row>26</xdr:row>
      <xdr:rowOff>209550</xdr:rowOff>
    </xdr:from>
    <xdr:to>
      <xdr:col>5</xdr:col>
      <xdr:colOff>104775</xdr:colOff>
      <xdr:row>29</xdr:row>
      <xdr:rowOff>38100</xdr:rowOff>
    </xdr:to>
    <xdr:sp macro="" textlink="">
      <xdr:nvSpPr>
        <xdr:cNvPr id="2" name="正方形/長方形 1">
          <a:extLst>
            <a:ext uri="{FF2B5EF4-FFF2-40B4-BE49-F238E27FC236}">
              <a16:creationId xmlns:a16="http://schemas.microsoft.com/office/drawing/2014/main" id="{21069168-72E0-17F6-5F38-A981ABEB9152}"/>
            </a:ext>
          </a:extLst>
        </xdr:cNvPr>
        <xdr:cNvSpPr/>
      </xdr:nvSpPr>
      <xdr:spPr>
        <a:xfrm>
          <a:off x="762000"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1</a:t>
          </a:r>
          <a:endParaRPr kumimoji="1" lang="ja-JP" altLang="en-US" sz="1100"/>
        </a:p>
      </xdr:txBody>
    </xdr:sp>
    <xdr:clientData/>
  </xdr:twoCellAnchor>
  <xdr:twoCellAnchor>
    <xdr:from>
      <xdr:col>4</xdr:col>
      <xdr:colOff>180975</xdr:colOff>
      <xdr:row>36</xdr:row>
      <xdr:rowOff>219075</xdr:rowOff>
    </xdr:from>
    <xdr:to>
      <xdr:col>7</xdr:col>
      <xdr:colOff>133350</xdr:colOff>
      <xdr:row>39</xdr:row>
      <xdr:rowOff>47625</xdr:rowOff>
    </xdr:to>
    <xdr:sp macro="" textlink="">
      <xdr:nvSpPr>
        <xdr:cNvPr id="3" name="正方形/長方形 2">
          <a:extLst>
            <a:ext uri="{FF2B5EF4-FFF2-40B4-BE49-F238E27FC236}">
              <a16:creationId xmlns:a16="http://schemas.microsoft.com/office/drawing/2014/main" id="{43B6EF13-7DA7-18C1-630D-19824C6B48EF}"/>
            </a:ext>
          </a:extLst>
        </xdr:cNvPr>
        <xdr:cNvSpPr/>
      </xdr:nvSpPr>
      <xdr:spPr>
        <a:xfrm>
          <a:off x="1400175" y="879157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1</a:t>
          </a:r>
          <a:endParaRPr kumimoji="1" lang="ja-JP" altLang="en-US" sz="1100"/>
        </a:p>
      </xdr:txBody>
    </xdr:sp>
    <xdr:clientData/>
  </xdr:twoCellAnchor>
  <xdr:twoCellAnchor>
    <xdr:from>
      <xdr:col>4</xdr:col>
      <xdr:colOff>180975</xdr:colOff>
      <xdr:row>28</xdr:row>
      <xdr:rowOff>4763</xdr:rowOff>
    </xdr:from>
    <xdr:to>
      <xdr:col>5</xdr:col>
      <xdr:colOff>104775</xdr:colOff>
      <xdr:row>38</xdr:row>
      <xdr:rowOff>14288</xdr:rowOff>
    </xdr:to>
    <xdr:cxnSp macro="">
      <xdr:nvCxnSpPr>
        <xdr:cNvPr id="6" name="直線矢印コネクタ 5">
          <a:extLst>
            <a:ext uri="{FF2B5EF4-FFF2-40B4-BE49-F238E27FC236}">
              <a16:creationId xmlns:a16="http://schemas.microsoft.com/office/drawing/2014/main" id="{00638CB6-F325-8E7B-7ECC-5F5847C37312}"/>
            </a:ext>
          </a:extLst>
        </xdr:cNvPr>
        <xdr:cNvCxnSpPr>
          <a:stCxn id="2" idx="3"/>
          <a:endCxn id="3" idx="1"/>
        </xdr:cNvCxnSpPr>
      </xdr:nvCxnSpPr>
      <xdr:spPr>
        <a:xfrm flipH="1">
          <a:off x="1400175" y="6672263"/>
          <a:ext cx="228600" cy="23907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133350</xdr:colOff>
      <xdr:row>26</xdr:row>
      <xdr:rowOff>219075</xdr:rowOff>
    </xdr:from>
    <xdr:to>
      <xdr:col>10</xdr:col>
      <xdr:colOff>85725</xdr:colOff>
      <xdr:row>29</xdr:row>
      <xdr:rowOff>47625</xdr:rowOff>
    </xdr:to>
    <xdr:sp macro="" textlink="">
      <xdr:nvSpPr>
        <xdr:cNvPr id="10" name="正方形/長方形 9">
          <a:extLst>
            <a:ext uri="{FF2B5EF4-FFF2-40B4-BE49-F238E27FC236}">
              <a16:creationId xmlns:a16="http://schemas.microsoft.com/office/drawing/2014/main" id="{12742478-CC5B-66BF-73F2-526883B71271}"/>
            </a:ext>
          </a:extLst>
        </xdr:cNvPr>
        <xdr:cNvSpPr/>
      </xdr:nvSpPr>
      <xdr:spPr>
        <a:xfrm>
          <a:off x="2266950"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地上２</a:t>
          </a:r>
        </a:p>
      </xdr:txBody>
    </xdr:sp>
    <xdr:clientData/>
  </xdr:twoCellAnchor>
  <xdr:twoCellAnchor>
    <xdr:from>
      <xdr:col>12</xdr:col>
      <xdr:colOff>47625</xdr:colOff>
      <xdr:row>26</xdr:row>
      <xdr:rowOff>219075</xdr:rowOff>
    </xdr:from>
    <xdr:to>
      <xdr:col>15</xdr:col>
      <xdr:colOff>0</xdr:colOff>
      <xdr:row>29</xdr:row>
      <xdr:rowOff>47625</xdr:rowOff>
    </xdr:to>
    <xdr:sp macro="" textlink="">
      <xdr:nvSpPr>
        <xdr:cNvPr id="11" name="正方形/長方形 10">
          <a:extLst>
            <a:ext uri="{FF2B5EF4-FFF2-40B4-BE49-F238E27FC236}">
              <a16:creationId xmlns:a16="http://schemas.microsoft.com/office/drawing/2014/main" id="{F11E1F40-B7DE-95F5-3F47-6DB7B906B4C8}"/>
            </a:ext>
          </a:extLst>
        </xdr:cNvPr>
        <xdr:cNvSpPr/>
      </xdr:nvSpPr>
      <xdr:spPr>
        <a:xfrm>
          <a:off x="3705225"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3</a:t>
          </a:r>
          <a:endParaRPr kumimoji="1" lang="ja-JP" altLang="en-US" sz="1100"/>
        </a:p>
      </xdr:txBody>
    </xdr:sp>
    <xdr:clientData/>
  </xdr:twoCellAnchor>
  <xdr:twoCellAnchor>
    <xdr:from>
      <xdr:col>17</xdr:col>
      <xdr:colOff>0</xdr:colOff>
      <xdr:row>26</xdr:row>
      <xdr:rowOff>228600</xdr:rowOff>
    </xdr:from>
    <xdr:to>
      <xdr:col>19</xdr:col>
      <xdr:colOff>257175</xdr:colOff>
      <xdr:row>29</xdr:row>
      <xdr:rowOff>57150</xdr:rowOff>
    </xdr:to>
    <xdr:sp macro="" textlink="">
      <xdr:nvSpPr>
        <xdr:cNvPr id="12" name="正方形/長方形 11">
          <a:extLst>
            <a:ext uri="{FF2B5EF4-FFF2-40B4-BE49-F238E27FC236}">
              <a16:creationId xmlns:a16="http://schemas.microsoft.com/office/drawing/2014/main" id="{522792DE-2B6B-D8FA-7D6D-A1FC6F51D68F}"/>
            </a:ext>
          </a:extLst>
        </xdr:cNvPr>
        <xdr:cNvSpPr/>
      </xdr:nvSpPr>
      <xdr:spPr>
        <a:xfrm>
          <a:off x="5181600" y="64198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地上４</a:t>
          </a:r>
        </a:p>
      </xdr:txBody>
    </xdr:sp>
    <xdr:clientData/>
  </xdr:twoCellAnchor>
  <xdr:twoCellAnchor>
    <xdr:from>
      <xdr:col>21</xdr:col>
      <xdr:colOff>257175</xdr:colOff>
      <xdr:row>26</xdr:row>
      <xdr:rowOff>209550</xdr:rowOff>
    </xdr:from>
    <xdr:to>
      <xdr:col>24</xdr:col>
      <xdr:colOff>209550</xdr:colOff>
      <xdr:row>29</xdr:row>
      <xdr:rowOff>38100</xdr:rowOff>
    </xdr:to>
    <xdr:sp macro="" textlink="">
      <xdr:nvSpPr>
        <xdr:cNvPr id="13" name="正方形/長方形 12">
          <a:extLst>
            <a:ext uri="{FF2B5EF4-FFF2-40B4-BE49-F238E27FC236}">
              <a16:creationId xmlns:a16="http://schemas.microsoft.com/office/drawing/2014/main" id="{24F04BEB-2651-A94C-838E-F35301DB3DFB}"/>
            </a:ext>
          </a:extLst>
        </xdr:cNvPr>
        <xdr:cNvSpPr/>
      </xdr:nvSpPr>
      <xdr:spPr>
        <a:xfrm>
          <a:off x="6657975"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5</a:t>
          </a:r>
          <a:endParaRPr kumimoji="1" lang="ja-JP" altLang="en-US" sz="1100"/>
        </a:p>
      </xdr:txBody>
    </xdr:sp>
    <xdr:clientData/>
  </xdr:twoCellAnchor>
  <xdr:twoCellAnchor>
    <xdr:from>
      <xdr:col>5</xdr:col>
      <xdr:colOff>104775</xdr:colOff>
      <xdr:row>28</xdr:row>
      <xdr:rowOff>4763</xdr:rowOff>
    </xdr:from>
    <xdr:to>
      <xdr:col>7</xdr:col>
      <xdr:colOff>133350</xdr:colOff>
      <xdr:row>28</xdr:row>
      <xdr:rowOff>14288</xdr:rowOff>
    </xdr:to>
    <xdr:cxnSp macro="">
      <xdr:nvCxnSpPr>
        <xdr:cNvPr id="16" name="直線矢印コネクタ 15">
          <a:extLst>
            <a:ext uri="{FF2B5EF4-FFF2-40B4-BE49-F238E27FC236}">
              <a16:creationId xmlns:a16="http://schemas.microsoft.com/office/drawing/2014/main" id="{229FF8BB-DC7B-E01A-B37D-65E72D140BBB}"/>
            </a:ext>
          </a:extLst>
        </xdr:cNvPr>
        <xdr:cNvCxnSpPr>
          <a:stCxn id="2" idx="3"/>
          <a:endCxn id="10" idx="1"/>
        </xdr:cNvCxnSpPr>
      </xdr:nvCxnSpPr>
      <xdr:spPr>
        <a:xfrm>
          <a:off x="1628775" y="6672263"/>
          <a:ext cx="63817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28</xdr:row>
      <xdr:rowOff>14288</xdr:rowOff>
    </xdr:from>
    <xdr:to>
      <xdr:col>12</xdr:col>
      <xdr:colOff>38100</xdr:colOff>
      <xdr:row>28</xdr:row>
      <xdr:rowOff>14288</xdr:rowOff>
    </xdr:to>
    <xdr:cxnSp macro="">
      <xdr:nvCxnSpPr>
        <xdr:cNvPr id="18" name="直線矢印コネクタ 17">
          <a:extLst>
            <a:ext uri="{FF2B5EF4-FFF2-40B4-BE49-F238E27FC236}">
              <a16:creationId xmlns:a16="http://schemas.microsoft.com/office/drawing/2014/main" id="{D4E61294-C862-FB9A-2433-733E2B00B6A2}"/>
            </a:ext>
          </a:extLst>
        </xdr:cNvPr>
        <xdr:cNvCxnSpPr/>
      </xdr:nvCxnSpPr>
      <xdr:spPr>
        <a:xfrm>
          <a:off x="3124200" y="6681788"/>
          <a:ext cx="5715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17</xdr:col>
      <xdr:colOff>0</xdr:colOff>
      <xdr:row>28</xdr:row>
      <xdr:rowOff>23813</xdr:rowOff>
    </xdr:to>
    <xdr:cxnSp macro="">
      <xdr:nvCxnSpPr>
        <xdr:cNvPr id="23" name="直線矢印コネクタ 22">
          <a:extLst>
            <a:ext uri="{FF2B5EF4-FFF2-40B4-BE49-F238E27FC236}">
              <a16:creationId xmlns:a16="http://schemas.microsoft.com/office/drawing/2014/main" id="{86412CA0-E1D6-E681-F222-B2F523FD68D2}"/>
            </a:ext>
          </a:extLst>
        </xdr:cNvPr>
        <xdr:cNvCxnSpPr>
          <a:stCxn id="11" idx="3"/>
          <a:endCxn id="12" idx="1"/>
        </xdr:cNvCxnSpPr>
      </xdr:nvCxnSpPr>
      <xdr:spPr>
        <a:xfrm>
          <a:off x="4572000" y="6681788"/>
          <a:ext cx="6096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4763</xdr:rowOff>
    </xdr:from>
    <xdr:to>
      <xdr:col>21</xdr:col>
      <xdr:colOff>257175</xdr:colOff>
      <xdr:row>28</xdr:row>
      <xdr:rowOff>23813</xdr:rowOff>
    </xdr:to>
    <xdr:cxnSp macro="">
      <xdr:nvCxnSpPr>
        <xdr:cNvPr id="27" name="直線矢印コネクタ 26">
          <a:extLst>
            <a:ext uri="{FF2B5EF4-FFF2-40B4-BE49-F238E27FC236}">
              <a16:creationId xmlns:a16="http://schemas.microsoft.com/office/drawing/2014/main" id="{CEA6D135-07C8-9314-5B1D-EA46CF7F7EBA}"/>
            </a:ext>
          </a:extLst>
        </xdr:cNvPr>
        <xdr:cNvCxnSpPr>
          <a:stCxn id="12" idx="3"/>
          <a:endCxn id="13" idx="1"/>
        </xdr:cNvCxnSpPr>
      </xdr:nvCxnSpPr>
      <xdr:spPr>
        <a:xfrm flipV="1">
          <a:off x="6048375" y="6672263"/>
          <a:ext cx="6096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41</xdr:row>
      <xdr:rowOff>171450</xdr:rowOff>
    </xdr:from>
    <xdr:to>
      <xdr:col>13</xdr:col>
      <xdr:colOff>228600</xdr:colOff>
      <xdr:row>44</xdr:row>
      <xdr:rowOff>0</xdr:rowOff>
    </xdr:to>
    <xdr:sp macro="" textlink="">
      <xdr:nvSpPr>
        <xdr:cNvPr id="31" name="正方形/長方形 30">
          <a:extLst>
            <a:ext uri="{FF2B5EF4-FFF2-40B4-BE49-F238E27FC236}">
              <a16:creationId xmlns:a16="http://schemas.microsoft.com/office/drawing/2014/main" id="{1317DEEE-A3A1-199F-983B-899D3F3CE9B8}"/>
            </a:ext>
          </a:extLst>
        </xdr:cNvPr>
        <xdr:cNvSpPr/>
      </xdr:nvSpPr>
      <xdr:spPr>
        <a:xfrm>
          <a:off x="3124200" y="9934575"/>
          <a:ext cx="106680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切り上げ２</a:t>
          </a:r>
        </a:p>
      </xdr:txBody>
    </xdr:sp>
    <xdr:clientData/>
  </xdr:twoCellAnchor>
  <xdr:twoCellAnchor>
    <xdr:from>
      <xdr:col>15</xdr:col>
      <xdr:colOff>28575</xdr:colOff>
      <xdr:row>46</xdr:row>
      <xdr:rowOff>66675</xdr:rowOff>
    </xdr:from>
    <xdr:to>
      <xdr:col>17</xdr:col>
      <xdr:colOff>285750</xdr:colOff>
      <xdr:row>48</xdr:row>
      <xdr:rowOff>133350</xdr:rowOff>
    </xdr:to>
    <xdr:sp macro="" textlink="">
      <xdr:nvSpPr>
        <xdr:cNvPr id="32" name="正方形/長方形 31">
          <a:extLst>
            <a:ext uri="{FF2B5EF4-FFF2-40B4-BE49-F238E27FC236}">
              <a16:creationId xmlns:a16="http://schemas.microsoft.com/office/drawing/2014/main" id="{6A9FFD03-8C7F-7743-11D2-7D847FA17769}"/>
            </a:ext>
          </a:extLst>
        </xdr:cNvPr>
        <xdr:cNvSpPr/>
      </xdr:nvSpPr>
      <xdr:spPr>
        <a:xfrm>
          <a:off x="4600575" y="110204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3</a:t>
          </a:r>
          <a:endParaRPr kumimoji="1" lang="ja-JP" altLang="en-US" sz="1100"/>
        </a:p>
      </xdr:txBody>
    </xdr:sp>
    <xdr:clientData/>
  </xdr:twoCellAnchor>
  <xdr:twoCellAnchor>
    <xdr:from>
      <xdr:col>21</xdr:col>
      <xdr:colOff>238125</xdr:colOff>
      <xdr:row>30</xdr:row>
      <xdr:rowOff>114300</xdr:rowOff>
    </xdr:from>
    <xdr:to>
      <xdr:col>24</xdr:col>
      <xdr:colOff>190500</xdr:colOff>
      <xdr:row>32</xdr:row>
      <xdr:rowOff>180975</xdr:rowOff>
    </xdr:to>
    <xdr:sp macro="" textlink="">
      <xdr:nvSpPr>
        <xdr:cNvPr id="33" name="正方形/長方形 32">
          <a:extLst>
            <a:ext uri="{FF2B5EF4-FFF2-40B4-BE49-F238E27FC236}">
              <a16:creationId xmlns:a16="http://schemas.microsoft.com/office/drawing/2014/main" id="{D50A5F8E-B9CD-3C0F-4501-053DB1CBB01C}"/>
            </a:ext>
          </a:extLst>
        </xdr:cNvPr>
        <xdr:cNvSpPr/>
      </xdr:nvSpPr>
      <xdr:spPr>
        <a:xfrm>
          <a:off x="6638925" y="725805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強３</a:t>
          </a:r>
        </a:p>
      </xdr:txBody>
    </xdr:sp>
    <xdr:clientData/>
  </xdr:twoCellAnchor>
  <xdr:twoCellAnchor>
    <xdr:from>
      <xdr:col>10</xdr:col>
      <xdr:colOff>76200</xdr:colOff>
      <xdr:row>28</xdr:row>
      <xdr:rowOff>14288</xdr:rowOff>
    </xdr:from>
    <xdr:to>
      <xdr:col>10</xdr:col>
      <xdr:colOff>85725</xdr:colOff>
      <xdr:row>42</xdr:row>
      <xdr:rowOff>204788</xdr:rowOff>
    </xdr:to>
    <xdr:cxnSp macro="">
      <xdr:nvCxnSpPr>
        <xdr:cNvPr id="36" name="直線矢印コネクタ 35">
          <a:extLst>
            <a:ext uri="{FF2B5EF4-FFF2-40B4-BE49-F238E27FC236}">
              <a16:creationId xmlns:a16="http://schemas.microsoft.com/office/drawing/2014/main" id="{E95430B9-CDF7-920A-C218-5A2189E1E645}"/>
            </a:ext>
          </a:extLst>
        </xdr:cNvPr>
        <xdr:cNvCxnSpPr>
          <a:stCxn id="10" idx="3"/>
          <a:endCxn id="31" idx="1"/>
        </xdr:cNvCxnSpPr>
      </xdr:nvCxnSpPr>
      <xdr:spPr>
        <a:xfrm flipH="1">
          <a:off x="3124200" y="6681788"/>
          <a:ext cx="9525" cy="35242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15</xdr:col>
      <xdr:colOff>28575</xdr:colOff>
      <xdr:row>47</xdr:row>
      <xdr:rowOff>100013</xdr:rowOff>
    </xdr:to>
    <xdr:cxnSp macro="">
      <xdr:nvCxnSpPr>
        <xdr:cNvPr id="39" name="直線矢印コネクタ 38">
          <a:extLst>
            <a:ext uri="{FF2B5EF4-FFF2-40B4-BE49-F238E27FC236}">
              <a16:creationId xmlns:a16="http://schemas.microsoft.com/office/drawing/2014/main" id="{86F2F195-00EC-A427-8194-9F1C27530983}"/>
            </a:ext>
          </a:extLst>
        </xdr:cNvPr>
        <xdr:cNvCxnSpPr>
          <a:stCxn id="11" idx="3"/>
          <a:endCxn id="32" idx="1"/>
        </xdr:cNvCxnSpPr>
      </xdr:nvCxnSpPr>
      <xdr:spPr>
        <a:xfrm>
          <a:off x="4572000" y="6681788"/>
          <a:ext cx="28575" cy="46101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23813</xdr:rowOff>
    </xdr:from>
    <xdr:to>
      <xdr:col>21</xdr:col>
      <xdr:colOff>238125</xdr:colOff>
      <xdr:row>31</xdr:row>
      <xdr:rowOff>147638</xdr:rowOff>
    </xdr:to>
    <xdr:cxnSp macro="">
      <xdr:nvCxnSpPr>
        <xdr:cNvPr id="42" name="直線矢印コネクタ 41">
          <a:extLst>
            <a:ext uri="{FF2B5EF4-FFF2-40B4-BE49-F238E27FC236}">
              <a16:creationId xmlns:a16="http://schemas.microsoft.com/office/drawing/2014/main" id="{20CDADD4-4A8F-B592-FC8D-9C1B6B16D2DF}"/>
            </a:ext>
          </a:extLst>
        </xdr:cNvPr>
        <xdr:cNvCxnSpPr>
          <a:stCxn id="12" idx="3"/>
          <a:endCxn id="33" idx="1"/>
        </xdr:cNvCxnSpPr>
      </xdr:nvCxnSpPr>
      <xdr:spPr>
        <a:xfrm>
          <a:off x="6048375" y="6691313"/>
          <a:ext cx="590550"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266700</xdr:colOff>
      <xdr:row>36</xdr:row>
      <xdr:rowOff>219075</xdr:rowOff>
    </xdr:from>
    <xdr:to>
      <xdr:col>11</xdr:col>
      <xdr:colOff>219075</xdr:colOff>
      <xdr:row>39</xdr:row>
      <xdr:rowOff>47625</xdr:rowOff>
    </xdr:to>
    <xdr:sp macro="" textlink="">
      <xdr:nvSpPr>
        <xdr:cNvPr id="47" name="正方形/長方形 46">
          <a:extLst>
            <a:ext uri="{FF2B5EF4-FFF2-40B4-BE49-F238E27FC236}">
              <a16:creationId xmlns:a16="http://schemas.microsoft.com/office/drawing/2014/main" id="{A6D349A2-857C-39F7-F5E1-39D37E2198B9}"/>
            </a:ext>
          </a:extLst>
        </xdr:cNvPr>
        <xdr:cNvSpPr/>
      </xdr:nvSpPr>
      <xdr:spPr>
        <a:xfrm>
          <a:off x="2705100"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12</xdr:col>
      <xdr:colOff>247650</xdr:colOff>
      <xdr:row>37</xdr:row>
      <xdr:rowOff>0</xdr:rowOff>
    </xdr:from>
    <xdr:to>
      <xdr:col>15</xdr:col>
      <xdr:colOff>200025</xdr:colOff>
      <xdr:row>39</xdr:row>
      <xdr:rowOff>66675</xdr:rowOff>
    </xdr:to>
    <xdr:sp macro="" textlink="">
      <xdr:nvSpPr>
        <xdr:cNvPr id="51" name="正方形/長方形 50">
          <a:extLst>
            <a:ext uri="{FF2B5EF4-FFF2-40B4-BE49-F238E27FC236}">
              <a16:creationId xmlns:a16="http://schemas.microsoft.com/office/drawing/2014/main" id="{9B53BF35-9B67-9560-4B4A-A4A4A32429F9}"/>
            </a:ext>
          </a:extLst>
        </xdr:cNvPr>
        <xdr:cNvSpPr/>
      </xdr:nvSpPr>
      <xdr:spPr>
        <a:xfrm>
          <a:off x="3905250" y="88106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2</a:t>
          </a:r>
          <a:endParaRPr kumimoji="1" lang="ja-JP" altLang="en-US" sz="1100"/>
        </a:p>
      </xdr:txBody>
    </xdr:sp>
    <xdr:clientData/>
  </xdr:twoCellAnchor>
  <xdr:twoCellAnchor>
    <xdr:from>
      <xdr:col>16</xdr:col>
      <xdr:colOff>180975</xdr:colOff>
      <xdr:row>36</xdr:row>
      <xdr:rowOff>219075</xdr:rowOff>
    </xdr:from>
    <xdr:to>
      <xdr:col>19</xdr:col>
      <xdr:colOff>133350</xdr:colOff>
      <xdr:row>39</xdr:row>
      <xdr:rowOff>47625</xdr:rowOff>
    </xdr:to>
    <xdr:sp macro="" textlink="">
      <xdr:nvSpPr>
        <xdr:cNvPr id="52" name="正方形/長方形 51">
          <a:extLst>
            <a:ext uri="{FF2B5EF4-FFF2-40B4-BE49-F238E27FC236}">
              <a16:creationId xmlns:a16="http://schemas.microsoft.com/office/drawing/2014/main" id="{59F1F595-6184-E83C-6E41-51145E43C18C}"/>
            </a:ext>
          </a:extLst>
        </xdr:cNvPr>
        <xdr:cNvSpPr/>
      </xdr:nvSpPr>
      <xdr:spPr>
        <a:xfrm>
          <a:off x="5057775"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3</a:t>
          </a:r>
          <a:endParaRPr kumimoji="1" lang="ja-JP" altLang="en-US" sz="1100"/>
        </a:p>
      </xdr:txBody>
    </xdr:sp>
    <xdr:clientData/>
  </xdr:twoCellAnchor>
  <xdr:twoCellAnchor>
    <xdr:from>
      <xdr:col>19</xdr:col>
      <xdr:colOff>95250</xdr:colOff>
      <xdr:row>46</xdr:row>
      <xdr:rowOff>76200</xdr:rowOff>
    </xdr:from>
    <xdr:to>
      <xdr:col>22</xdr:col>
      <xdr:colOff>47625</xdr:colOff>
      <xdr:row>48</xdr:row>
      <xdr:rowOff>142875</xdr:rowOff>
    </xdr:to>
    <xdr:sp macro="" textlink="">
      <xdr:nvSpPr>
        <xdr:cNvPr id="53" name="正方形/長方形 52">
          <a:extLst>
            <a:ext uri="{FF2B5EF4-FFF2-40B4-BE49-F238E27FC236}">
              <a16:creationId xmlns:a16="http://schemas.microsoft.com/office/drawing/2014/main" id="{79ACAA13-B9E1-5D69-2D1E-16CCFB495E26}"/>
            </a:ext>
          </a:extLst>
        </xdr:cNvPr>
        <xdr:cNvSpPr/>
      </xdr:nvSpPr>
      <xdr:spPr>
        <a:xfrm>
          <a:off x="5886450"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23</xdr:col>
      <xdr:colOff>238125</xdr:colOff>
      <xdr:row>46</xdr:row>
      <xdr:rowOff>76200</xdr:rowOff>
    </xdr:from>
    <xdr:to>
      <xdr:col>26</xdr:col>
      <xdr:colOff>190500</xdr:colOff>
      <xdr:row>48</xdr:row>
      <xdr:rowOff>142875</xdr:rowOff>
    </xdr:to>
    <xdr:sp macro="" textlink="">
      <xdr:nvSpPr>
        <xdr:cNvPr id="55" name="正方形/長方形 54">
          <a:extLst>
            <a:ext uri="{FF2B5EF4-FFF2-40B4-BE49-F238E27FC236}">
              <a16:creationId xmlns:a16="http://schemas.microsoft.com/office/drawing/2014/main" id="{01712D99-8CB6-2E24-3854-97E6273317F8}"/>
            </a:ext>
          </a:extLst>
        </xdr:cNvPr>
        <xdr:cNvSpPr/>
      </xdr:nvSpPr>
      <xdr:spPr>
        <a:xfrm>
          <a:off x="7248525"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20</xdr:col>
      <xdr:colOff>285750</xdr:colOff>
      <xdr:row>36</xdr:row>
      <xdr:rowOff>200025</xdr:rowOff>
    </xdr:from>
    <xdr:to>
      <xdr:col>23</xdr:col>
      <xdr:colOff>238125</xdr:colOff>
      <xdr:row>39</xdr:row>
      <xdr:rowOff>28575</xdr:rowOff>
    </xdr:to>
    <xdr:sp macro="" textlink="">
      <xdr:nvSpPr>
        <xdr:cNvPr id="58" name="正方形/長方形 57">
          <a:extLst>
            <a:ext uri="{FF2B5EF4-FFF2-40B4-BE49-F238E27FC236}">
              <a16:creationId xmlns:a16="http://schemas.microsoft.com/office/drawing/2014/main" id="{95B0F2F2-3E98-619D-8D17-8EFEF9405B97}"/>
            </a:ext>
          </a:extLst>
        </xdr:cNvPr>
        <xdr:cNvSpPr/>
      </xdr:nvSpPr>
      <xdr:spPr>
        <a:xfrm>
          <a:off x="6381750" y="87725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7</xdr:col>
      <xdr:colOff>133350</xdr:colOff>
      <xdr:row>38</xdr:row>
      <xdr:rowOff>14288</xdr:rowOff>
    </xdr:from>
    <xdr:to>
      <xdr:col>8</xdr:col>
      <xdr:colOff>266700</xdr:colOff>
      <xdr:row>38</xdr:row>
      <xdr:rowOff>14288</xdr:rowOff>
    </xdr:to>
    <xdr:cxnSp macro="">
      <xdr:nvCxnSpPr>
        <xdr:cNvPr id="60" name="直線矢印コネクタ 59">
          <a:extLst>
            <a:ext uri="{FF2B5EF4-FFF2-40B4-BE49-F238E27FC236}">
              <a16:creationId xmlns:a16="http://schemas.microsoft.com/office/drawing/2014/main" id="{9ABCBD60-97B9-6E7D-9CC9-28D2F2F7B438}"/>
            </a:ext>
          </a:extLst>
        </xdr:cNvPr>
        <xdr:cNvCxnSpPr>
          <a:stCxn id="3" idx="3"/>
          <a:endCxn id="47" idx="1"/>
        </xdr:cNvCxnSpPr>
      </xdr:nvCxnSpPr>
      <xdr:spPr>
        <a:xfrm>
          <a:off x="2266950" y="9063038"/>
          <a:ext cx="43815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219075</xdr:colOff>
      <xdr:row>38</xdr:row>
      <xdr:rowOff>14288</xdr:rowOff>
    </xdr:from>
    <xdr:to>
      <xdr:col>12</xdr:col>
      <xdr:colOff>247650</xdr:colOff>
      <xdr:row>38</xdr:row>
      <xdr:rowOff>33338</xdr:rowOff>
    </xdr:to>
    <xdr:cxnSp macro="">
      <xdr:nvCxnSpPr>
        <xdr:cNvPr id="66" name="直線矢印コネクタ 65">
          <a:extLst>
            <a:ext uri="{FF2B5EF4-FFF2-40B4-BE49-F238E27FC236}">
              <a16:creationId xmlns:a16="http://schemas.microsoft.com/office/drawing/2014/main" id="{D9380E42-0E4F-448D-D5D0-A4DEBAFF8835}"/>
            </a:ext>
          </a:extLst>
        </xdr:cNvPr>
        <xdr:cNvCxnSpPr>
          <a:stCxn id="47" idx="3"/>
          <a:endCxn id="51" idx="1"/>
        </xdr:cNvCxnSpPr>
      </xdr:nvCxnSpPr>
      <xdr:spPr>
        <a:xfrm>
          <a:off x="3571875" y="9063038"/>
          <a:ext cx="333375"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200025</xdr:colOff>
      <xdr:row>38</xdr:row>
      <xdr:rowOff>14288</xdr:rowOff>
    </xdr:from>
    <xdr:to>
      <xdr:col>16</xdr:col>
      <xdr:colOff>180975</xdr:colOff>
      <xdr:row>38</xdr:row>
      <xdr:rowOff>33338</xdr:rowOff>
    </xdr:to>
    <xdr:cxnSp macro="">
      <xdr:nvCxnSpPr>
        <xdr:cNvPr id="69" name="直線矢印コネクタ 68">
          <a:extLst>
            <a:ext uri="{FF2B5EF4-FFF2-40B4-BE49-F238E27FC236}">
              <a16:creationId xmlns:a16="http://schemas.microsoft.com/office/drawing/2014/main" id="{B1C72B8D-91DF-C62E-2B63-2D13A38655A4}"/>
            </a:ext>
          </a:extLst>
        </xdr:cNvPr>
        <xdr:cNvCxnSpPr>
          <a:stCxn id="51" idx="3"/>
          <a:endCxn id="52" idx="1"/>
        </xdr:cNvCxnSpPr>
      </xdr:nvCxnSpPr>
      <xdr:spPr>
        <a:xfrm flipV="1">
          <a:off x="4772025" y="9063038"/>
          <a:ext cx="2857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133350</xdr:colOff>
      <xdr:row>37</xdr:row>
      <xdr:rowOff>233363</xdr:rowOff>
    </xdr:from>
    <xdr:to>
      <xdr:col>20</xdr:col>
      <xdr:colOff>285750</xdr:colOff>
      <xdr:row>38</xdr:row>
      <xdr:rowOff>14288</xdr:rowOff>
    </xdr:to>
    <xdr:cxnSp macro="">
      <xdr:nvCxnSpPr>
        <xdr:cNvPr id="72" name="直線矢印コネクタ 71">
          <a:extLst>
            <a:ext uri="{FF2B5EF4-FFF2-40B4-BE49-F238E27FC236}">
              <a16:creationId xmlns:a16="http://schemas.microsoft.com/office/drawing/2014/main" id="{133170D3-2A24-B456-33E5-1EF74EEB2228}"/>
            </a:ext>
          </a:extLst>
        </xdr:cNvPr>
        <xdr:cNvCxnSpPr>
          <a:stCxn id="52" idx="3"/>
          <a:endCxn id="58" idx="1"/>
        </xdr:cNvCxnSpPr>
      </xdr:nvCxnSpPr>
      <xdr:spPr>
        <a:xfrm flipV="1">
          <a:off x="5924550" y="9043988"/>
          <a:ext cx="4572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285750</xdr:colOff>
      <xdr:row>47</xdr:row>
      <xdr:rowOff>100013</xdr:rowOff>
    </xdr:from>
    <xdr:to>
      <xdr:col>19</xdr:col>
      <xdr:colOff>95250</xdr:colOff>
      <xdr:row>47</xdr:row>
      <xdr:rowOff>109538</xdr:rowOff>
    </xdr:to>
    <xdr:cxnSp macro="">
      <xdr:nvCxnSpPr>
        <xdr:cNvPr id="78" name="直線矢印コネクタ 77">
          <a:extLst>
            <a:ext uri="{FF2B5EF4-FFF2-40B4-BE49-F238E27FC236}">
              <a16:creationId xmlns:a16="http://schemas.microsoft.com/office/drawing/2014/main" id="{4F5D9089-DC87-F94C-4AD2-7C49D3DE0A33}"/>
            </a:ext>
          </a:extLst>
        </xdr:cNvPr>
        <xdr:cNvCxnSpPr>
          <a:stCxn id="32" idx="3"/>
          <a:endCxn id="53" idx="1"/>
        </xdr:cNvCxnSpPr>
      </xdr:nvCxnSpPr>
      <xdr:spPr>
        <a:xfrm>
          <a:off x="5467350" y="11291888"/>
          <a:ext cx="4191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47625</xdr:colOff>
      <xdr:row>47</xdr:row>
      <xdr:rowOff>109538</xdr:rowOff>
    </xdr:from>
    <xdr:to>
      <xdr:col>23</xdr:col>
      <xdr:colOff>238125</xdr:colOff>
      <xdr:row>47</xdr:row>
      <xdr:rowOff>109538</xdr:rowOff>
    </xdr:to>
    <xdr:cxnSp macro="">
      <xdr:nvCxnSpPr>
        <xdr:cNvPr id="81" name="直線矢印コネクタ 80">
          <a:extLst>
            <a:ext uri="{FF2B5EF4-FFF2-40B4-BE49-F238E27FC236}">
              <a16:creationId xmlns:a16="http://schemas.microsoft.com/office/drawing/2014/main" id="{A2AE6844-E79D-C61E-C32D-B1585B3361FB}"/>
            </a:ext>
          </a:extLst>
        </xdr:cNvPr>
        <xdr:cNvCxnSpPr>
          <a:stCxn id="53" idx="3"/>
          <a:endCxn id="55" idx="1"/>
        </xdr:cNvCxnSpPr>
      </xdr:nvCxnSpPr>
      <xdr:spPr>
        <a:xfrm>
          <a:off x="6753225" y="11301413"/>
          <a:ext cx="4953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123825</xdr:colOff>
      <xdr:row>30</xdr:row>
      <xdr:rowOff>171450</xdr:rowOff>
    </xdr:from>
    <xdr:to>
      <xdr:col>5</xdr:col>
      <xdr:colOff>76200</xdr:colOff>
      <xdr:row>33</xdr:row>
      <xdr:rowOff>0</xdr:rowOff>
    </xdr:to>
    <xdr:sp macro="" textlink="">
      <xdr:nvSpPr>
        <xdr:cNvPr id="83" name="正方形/長方形 82">
          <a:extLst>
            <a:ext uri="{FF2B5EF4-FFF2-40B4-BE49-F238E27FC236}">
              <a16:creationId xmlns:a16="http://schemas.microsoft.com/office/drawing/2014/main" id="{F47593BE-2808-51D9-5F5A-A42BFBA65B8E}"/>
            </a:ext>
          </a:extLst>
        </xdr:cNvPr>
        <xdr:cNvSpPr/>
      </xdr:nvSpPr>
      <xdr:spPr>
        <a:xfrm>
          <a:off x="733425" y="731520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1</a:t>
          </a:r>
          <a:endParaRPr kumimoji="1" lang="ja-JP" altLang="en-US" sz="1100"/>
        </a:p>
      </xdr:txBody>
    </xdr:sp>
    <xdr:clientData/>
  </xdr:twoCellAnchor>
  <xdr:twoCellAnchor>
    <xdr:from>
      <xdr:col>0</xdr:col>
      <xdr:colOff>0</xdr:colOff>
      <xdr:row>30</xdr:row>
      <xdr:rowOff>228600</xdr:rowOff>
    </xdr:from>
    <xdr:to>
      <xdr:col>0</xdr:col>
      <xdr:colOff>0</xdr:colOff>
      <xdr:row>33</xdr:row>
      <xdr:rowOff>57150</xdr:rowOff>
    </xdr:to>
    <xdr:sp macro="" textlink="">
      <xdr:nvSpPr>
        <xdr:cNvPr id="84" name="正方形/長方形 83">
          <a:extLst>
            <a:ext uri="{FF2B5EF4-FFF2-40B4-BE49-F238E27FC236}">
              <a16:creationId xmlns:a16="http://schemas.microsoft.com/office/drawing/2014/main" id="{9A8D576E-CA75-E84D-7423-98DEA41F6862}"/>
            </a:ext>
          </a:extLst>
        </xdr:cNvPr>
        <xdr:cNvSpPr/>
      </xdr:nvSpPr>
      <xdr:spPr>
        <a:xfrm>
          <a:off x="0" y="7372350"/>
          <a:ext cx="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123825</xdr:colOff>
      <xdr:row>30</xdr:row>
      <xdr:rowOff>180975</xdr:rowOff>
    </xdr:from>
    <xdr:to>
      <xdr:col>10</xdr:col>
      <xdr:colOff>76200</xdr:colOff>
      <xdr:row>33</xdr:row>
      <xdr:rowOff>9525</xdr:rowOff>
    </xdr:to>
    <xdr:sp macro="" textlink="">
      <xdr:nvSpPr>
        <xdr:cNvPr id="85" name="正方形/長方形 84">
          <a:extLst>
            <a:ext uri="{FF2B5EF4-FFF2-40B4-BE49-F238E27FC236}">
              <a16:creationId xmlns:a16="http://schemas.microsoft.com/office/drawing/2014/main" id="{9C384BA8-378F-1537-45D6-455C564888A5}"/>
            </a:ext>
          </a:extLst>
        </xdr:cNvPr>
        <xdr:cNvSpPr/>
      </xdr:nvSpPr>
      <xdr:spPr>
        <a:xfrm>
          <a:off x="2257425" y="73247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2</a:t>
          </a:r>
          <a:endParaRPr kumimoji="1" lang="ja-JP" altLang="en-US" sz="1100"/>
        </a:p>
      </xdr:txBody>
    </xdr:sp>
    <xdr:clientData/>
  </xdr:twoCellAnchor>
  <xdr:twoCellAnchor>
    <xdr:from>
      <xdr:col>5</xdr:col>
      <xdr:colOff>76200</xdr:colOff>
      <xdr:row>31</xdr:row>
      <xdr:rowOff>204788</xdr:rowOff>
    </xdr:from>
    <xdr:to>
      <xdr:col>7</xdr:col>
      <xdr:colOff>123825</xdr:colOff>
      <xdr:row>31</xdr:row>
      <xdr:rowOff>214313</xdr:rowOff>
    </xdr:to>
    <xdr:cxnSp macro="">
      <xdr:nvCxnSpPr>
        <xdr:cNvPr id="87" name="直線矢印コネクタ 86">
          <a:extLst>
            <a:ext uri="{FF2B5EF4-FFF2-40B4-BE49-F238E27FC236}">
              <a16:creationId xmlns:a16="http://schemas.microsoft.com/office/drawing/2014/main" id="{7CF3F4ED-EC41-2515-7DB8-28791575A9DB}"/>
            </a:ext>
          </a:extLst>
        </xdr:cNvPr>
        <xdr:cNvCxnSpPr>
          <a:stCxn id="83" idx="3"/>
          <a:endCxn id="85" idx="1"/>
        </xdr:cNvCxnSpPr>
      </xdr:nvCxnSpPr>
      <xdr:spPr>
        <a:xfrm>
          <a:off x="1600200" y="7586663"/>
          <a:ext cx="65722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285750</xdr:colOff>
      <xdr:row>41</xdr:row>
      <xdr:rowOff>9525</xdr:rowOff>
    </xdr:from>
    <xdr:to>
      <xdr:col>27</xdr:col>
      <xdr:colOff>152400</xdr:colOff>
      <xdr:row>43</xdr:row>
      <xdr:rowOff>76200</xdr:rowOff>
    </xdr:to>
    <xdr:sp macro="" textlink="">
      <xdr:nvSpPr>
        <xdr:cNvPr id="89" name="正方形/長方形 88">
          <a:extLst>
            <a:ext uri="{FF2B5EF4-FFF2-40B4-BE49-F238E27FC236}">
              <a16:creationId xmlns:a16="http://schemas.microsoft.com/office/drawing/2014/main" id="{E3FABCD3-7056-5CA9-45CD-E34939AAF3F9}"/>
            </a:ext>
          </a:extLst>
        </xdr:cNvPr>
        <xdr:cNvSpPr/>
      </xdr:nvSpPr>
      <xdr:spPr>
        <a:xfrm>
          <a:off x="7296150" y="9772650"/>
          <a:ext cx="108585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いずな落とし</a:t>
          </a:r>
        </a:p>
      </xdr:txBody>
    </xdr:sp>
    <xdr:clientData/>
  </xdr:twoCellAnchor>
  <xdr:twoCellAnchor>
    <xdr:from>
      <xdr:col>15</xdr:col>
      <xdr:colOff>200025</xdr:colOff>
      <xdr:row>38</xdr:row>
      <xdr:rowOff>33338</xdr:rowOff>
    </xdr:from>
    <xdr:to>
      <xdr:col>23</xdr:col>
      <xdr:colOff>285750</xdr:colOff>
      <xdr:row>42</xdr:row>
      <xdr:rowOff>42863</xdr:rowOff>
    </xdr:to>
    <xdr:cxnSp macro="">
      <xdr:nvCxnSpPr>
        <xdr:cNvPr id="91" name="直線矢印コネクタ 90">
          <a:extLst>
            <a:ext uri="{FF2B5EF4-FFF2-40B4-BE49-F238E27FC236}">
              <a16:creationId xmlns:a16="http://schemas.microsoft.com/office/drawing/2014/main" id="{DC6BF1CE-AE9D-C11F-FF1C-209F79DA1F71}"/>
            </a:ext>
          </a:extLst>
        </xdr:cNvPr>
        <xdr:cNvCxnSpPr>
          <a:stCxn id="51" idx="3"/>
          <a:endCxn id="89" idx="1"/>
        </xdr:cNvCxnSpPr>
      </xdr:nvCxnSpPr>
      <xdr:spPr>
        <a:xfrm>
          <a:off x="4772025" y="9082088"/>
          <a:ext cx="2524125" cy="962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247649</xdr:colOff>
      <xdr:row>2</xdr:row>
      <xdr:rowOff>57150</xdr:rowOff>
    </xdr:from>
    <xdr:to>
      <xdr:col>24</xdr:col>
      <xdr:colOff>238125</xdr:colOff>
      <xdr:row>12</xdr:row>
      <xdr:rowOff>28575</xdr:rowOff>
    </xdr:to>
    <xdr:sp macro="" textlink="">
      <xdr:nvSpPr>
        <xdr:cNvPr id="2" name="正方形/長方形 1">
          <a:extLst>
            <a:ext uri="{FF2B5EF4-FFF2-40B4-BE49-F238E27FC236}">
              <a16:creationId xmlns:a16="http://schemas.microsoft.com/office/drawing/2014/main" id="{9976968F-90B1-9BAB-F8D7-355380CE457D}"/>
            </a:ext>
          </a:extLst>
        </xdr:cNvPr>
        <xdr:cNvSpPr/>
      </xdr:nvSpPr>
      <xdr:spPr>
        <a:xfrm>
          <a:off x="1504949" y="533400"/>
          <a:ext cx="6276976" cy="23526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AttackBase</a:t>
          </a:r>
        </a:p>
        <a:p>
          <a:pPr algn="l"/>
          <a:r>
            <a:rPr kumimoji="1" lang="ja-JP" altLang="en-US" sz="1100"/>
            <a:t>当たった敵のリスト</a:t>
          </a:r>
          <a:r>
            <a:rPr kumimoji="1" lang="en-US" altLang="ja-JP" sz="1100"/>
            <a:t>(Collidable)</a:t>
          </a:r>
        </a:p>
        <a:p>
          <a:pPr algn="l"/>
          <a:r>
            <a:rPr kumimoji="1" lang="ja-JP" altLang="en-US" sz="1100"/>
            <a:t>攻撃のノックバック距離、攻撃力←プレイヤーの</a:t>
          </a:r>
          <a:r>
            <a:rPr kumimoji="1" lang="en-US" altLang="ja-JP" sz="1100"/>
            <a:t>AttackData</a:t>
          </a:r>
          <a:r>
            <a:rPr kumimoji="1" lang="ja-JP" altLang="en-US" sz="1100"/>
            <a:t>から渡す、敵もどっかから渡す</a:t>
          </a:r>
          <a:endParaRPr kumimoji="1" lang="en-US" altLang="ja-JP" sz="1100"/>
        </a:p>
        <a:p>
          <a:pPr algn="l"/>
          <a:r>
            <a:rPr kumimoji="1" lang="ja-JP" altLang="en-US" sz="1100"/>
            <a:t>生存時間などは迷い</a:t>
          </a:r>
          <a:br>
            <a:rPr kumimoji="1" lang="en-US" altLang="ja-JP" sz="1100"/>
          </a:br>
          <a:r>
            <a:rPr kumimoji="1" lang="ja-JP" altLang="en-US" sz="1100"/>
            <a:t>そもそもこれ一個でよさそう</a:t>
          </a:r>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ja-JP" altLang="en-US" sz="1100"/>
        </a:p>
      </xdr:txBody>
    </xdr:sp>
    <xdr:clientData/>
  </xdr:twoCellAnchor>
  <xdr:twoCellAnchor>
    <xdr:from>
      <xdr:col>3</xdr:col>
      <xdr:colOff>152400</xdr:colOff>
      <xdr:row>15</xdr:row>
      <xdr:rowOff>152400</xdr:rowOff>
    </xdr:from>
    <xdr:to>
      <xdr:col>9</xdr:col>
      <xdr:colOff>238125</xdr:colOff>
      <xdr:row>23</xdr:row>
      <xdr:rowOff>200025</xdr:rowOff>
    </xdr:to>
    <xdr:sp macro="" textlink="">
      <xdr:nvSpPr>
        <xdr:cNvPr id="3" name="正方形/長方形 2">
          <a:extLst>
            <a:ext uri="{FF2B5EF4-FFF2-40B4-BE49-F238E27FC236}">
              <a16:creationId xmlns:a16="http://schemas.microsoft.com/office/drawing/2014/main" id="{955567FC-79AE-9F46-5366-81F2ADE8CAEF}"/>
            </a:ext>
          </a:extLst>
        </xdr:cNvPr>
        <xdr:cNvSpPr/>
      </xdr:nvSpPr>
      <xdr:spPr>
        <a:xfrm>
          <a:off x="1095375" y="372427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PlayerAttack</a:t>
          </a:r>
          <a:br>
            <a:rPr kumimoji="1" lang="en-US" altLang="ja-JP" sz="1100"/>
          </a:br>
          <a:br>
            <a:rPr kumimoji="1" lang="en-US" altLang="ja-JP" sz="1100"/>
          </a:br>
          <a:r>
            <a:rPr kumimoji="1" lang="ja-JP" altLang="en-US" sz="1100"/>
            <a:t>具体的なデータをもらう</a:t>
          </a:r>
          <a:endParaRPr kumimoji="1" lang="en-US" altLang="ja-JP" sz="1100"/>
        </a:p>
        <a:p>
          <a:pPr algn="l"/>
          <a:r>
            <a:rPr kumimoji="1" lang="ja-JP" altLang="en-US" sz="1100"/>
            <a:t>生存時間をきめる</a:t>
          </a:r>
          <a:endParaRPr kumimoji="1" lang="en-US" altLang="ja-JP" sz="1100"/>
        </a:p>
        <a:p>
          <a:pPr algn="l"/>
          <a:endParaRPr kumimoji="1" lang="ja-JP" altLang="en-US" sz="1100"/>
        </a:p>
      </xdr:txBody>
    </xdr:sp>
    <xdr:clientData/>
  </xdr:twoCellAnchor>
  <xdr:twoCellAnchor>
    <xdr:from>
      <xdr:col>6</xdr:col>
      <xdr:colOff>195263</xdr:colOff>
      <xdr:row>12</xdr:row>
      <xdr:rowOff>28575</xdr:rowOff>
    </xdr:from>
    <xdr:to>
      <xdr:col>14</xdr:col>
      <xdr:colOff>242887</xdr:colOff>
      <xdr:row>15</xdr:row>
      <xdr:rowOff>152400</xdr:rowOff>
    </xdr:to>
    <xdr:cxnSp macro="">
      <xdr:nvCxnSpPr>
        <xdr:cNvPr id="5" name="直線矢印コネクタ 4">
          <a:extLst>
            <a:ext uri="{FF2B5EF4-FFF2-40B4-BE49-F238E27FC236}">
              <a16:creationId xmlns:a16="http://schemas.microsoft.com/office/drawing/2014/main" id="{A033F718-35BA-3752-3F6E-75AFBC861E49}"/>
            </a:ext>
          </a:extLst>
        </xdr:cNvPr>
        <xdr:cNvCxnSpPr>
          <a:stCxn id="2" idx="2"/>
          <a:endCxn id="3" idx="0"/>
        </xdr:cNvCxnSpPr>
      </xdr:nvCxnSpPr>
      <xdr:spPr>
        <a:xfrm flipH="1">
          <a:off x="2081213" y="2886075"/>
          <a:ext cx="2562224"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190500</xdr:colOff>
      <xdr:row>15</xdr:row>
      <xdr:rowOff>133350</xdr:rowOff>
    </xdr:from>
    <xdr:to>
      <xdr:col>24</xdr:col>
      <xdr:colOff>276225</xdr:colOff>
      <xdr:row>23</xdr:row>
      <xdr:rowOff>180975</xdr:rowOff>
    </xdr:to>
    <xdr:sp macro="" textlink="">
      <xdr:nvSpPr>
        <xdr:cNvPr id="7" name="正方形/長方形 6">
          <a:extLst>
            <a:ext uri="{FF2B5EF4-FFF2-40B4-BE49-F238E27FC236}">
              <a16:creationId xmlns:a16="http://schemas.microsoft.com/office/drawing/2014/main" id="{2543105A-5D70-964E-0AD0-C2362A7E31F6}"/>
            </a:ext>
          </a:extLst>
        </xdr:cNvPr>
        <xdr:cNvSpPr/>
      </xdr:nvSpPr>
      <xdr:spPr>
        <a:xfrm>
          <a:off x="5848350" y="370522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EnemyAttack</a:t>
          </a:r>
        </a:p>
        <a:p>
          <a:pPr algn="l"/>
          <a:endParaRPr kumimoji="1" lang="en-US" altLang="ja-JP" sz="1100"/>
        </a:p>
        <a:p>
          <a:pPr algn="l"/>
          <a:endParaRPr kumimoji="1" lang="en-US" altLang="ja-JP" sz="1100"/>
        </a:p>
        <a:p>
          <a:pPr algn="l"/>
          <a:r>
            <a:rPr kumimoji="1" lang="ja-JP" altLang="en-US" sz="1100"/>
            <a:t>具体的なデータをもらう</a:t>
          </a:r>
          <a:endParaRPr kumimoji="1" lang="en-US" altLang="ja-JP" sz="1100"/>
        </a:p>
        <a:p>
          <a:pPr algn="l"/>
          <a:r>
            <a:rPr kumimoji="1" lang="ja-JP" altLang="en-US" sz="1100"/>
            <a:t>生存時間をきめるスキル技</a:t>
          </a:r>
          <a:endParaRPr kumimoji="1" lang="en-US" altLang="ja-JP" sz="1100"/>
        </a:p>
        <a:p>
          <a:pPr algn="l"/>
          <a:endParaRPr kumimoji="1" lang="en-US" altLang="ja-JP" sz="1100"/>
        </a:p>
        <a:p>
          <a:pPr algn="l"/>
          <a:endParaRPr kumimoji="1" lang="ja-JP" altLang="en-US" sz="1100"/>
        </a:p>
      </xdr:txBody>
    </xdr:sp>
    <xdr:clientData/>
  </xdr:twoCellAnchor>
  <xdr:twoCellAnchor>
    <xdr:from>
      <xdr:col>14</xdr:col>
      <xdr:colOff>242887</xdr:colOff>
      <xdr:row>12</xdr:row>
      <xdr:rowOff>28575</xdr:rowOff>
    </xdr:from>
    <xdr:to>
      <xdr:col>21</xdr:col>
      <xdr:colOff>233363</xdr:colOff>
      <xdr:row>15</xdr:row>
      <xdr:rowOff>133350</xdr:rowOff>
    </xdr:to>
    <xdr:cxnSp macro="">
      <xdr:nvCxnSpPr>
        <xdr:cNvPr id="10" name="直線矢印コネクタ 9">
          <a:extLst>
            <a:ext uri="{FF2B5EF4-FFF2-40B4-BE49-F238E27FC236}">
              <a16:creationId xmlns:a16="http://schemas.microsoft.com/office/drawing/2014/main" id="{BA140AA9-2668-66D5-D88F-CBF290BF3D79}"/>
            </a:ext>
          </a:extLst>
        </xdr:cNvPr>
        <xdr:cNvCxnSpPr>
          <a:stCxn id="2" idx="2"/>
          <a:endCxn id="7" idx="0"/>
        </xdr:cNvCxnSpPr>
      </xdr:nvCxnSpPr>
      <xdr:spPr>
        <a:xfrm>
          <a:off x="4643437" y="2886075"/>
          <a:ext cx="2190751" cy="8191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31</xdr:col>
      <xdr:colOff>272142</xdr:colOff>
      <xdr:row>13</xdr:row>
      <xdr:rowOff>149679</xdr:rowOff>
    </xdr:from>
    <xdr:to>
      <xdr:col>39</xdr:col>
      <xdr:colOff>13607</xdr:colOff>
      <xdr:row>19</xdr:row>
      <xdr:rowOff>95250</xdr:rowOff>
    </xdr:to>
    <xdr:sp macro="" textlink="">
      <xdr:nvSpPr>
        <xdr:cNvPr id="4" name="正方形/長方形 3">
          <a:extLst>
            <a:ext uri="{FF2B5EF4-FFF2-40B4-BE49-F238E27FC236}">
              <a16:creationId xmlns:a16="http://schemas.microsoft.com/office/drawing/2014/main" id="{55C35913-0911-5F9E-CAC9-8CA6C39708E2}"/>
            </a:ext>
          </a:extLst>
        </xdr:cNvPr>
        <xdr:cNvSpPr/>
      </xdr:nvSpPr>
      <xdr:spPr>
        <a:xfrm>
          <a:off x="9974035" y="3333750"/>
          <a:ext cx="2245179" cy="1415143"/>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kumimoji="1" lang="en-US" altLang="ja-JP" sz="1100"/>
            <a:t>Character</a:t>
          </a:r>
          <a:endParaRPr kumimoji="1" lang="ja-JP" altLang="en-US" sz="1100"/>
        </a:p>
      </xdr:txBody>
    </xdr:sp>
    <xdr:clientData/>
  </xdr:twoCellAnchor>
  <xdr:twoCellAnchor>
    <xdr:from>
      <xdr:col>32</xdr:col>
      <xdr:colOff>97972</xdr:colOff>
      <xdr:row>25</xdr:row>
      <xdr:rowOff>125186</xdr:rowOff>
    </xdr:from>
    <xdr:to>
      <xdr:col>37</xdr:col>
      <xdr:colOff>68036</xdr:colOff>
      <xdr:row>28</xdr:row>
      <xdr:rowOff>204107</xdr:rowOff>
    </xdr:to>
    <xdr:sp macro="" textlink="">
      <xdr:nvSpPr>
        <xdr:cNvPr id="6" name="正方形/長方形 5">
          <a:extLst>
            <a:ext uri="{FF2B5EF4-FFF2-40B4-BE49-F238E27FC236}">
              <a16:creationId xmlns:a16="http://schemas.microsoft.com/office/drawing/2014/main" id="{75F5DD45-549A-BE84-13E2-3113F25B4AFA}"/>
            </a:ext>
          </a:extLst>
        </xdr:cNvPr>
        <xdr:cNvSpPr/>
      </xdr:nvSpPr>
      <xdr:spPr>
        <a:xfrm>
          <a:off x="10112829" y="6248400"/>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押し戻しの</a:t>
          </a:r>
          <a:br>
            <a:rPr kumimoji="1" lang="en-US" altLang="ja-JP" sz="1100"/>
          </a:br>
          <a:r>
            <a:rPr kumimoji="1" lang="ja-JP" altLang="en-US" sz="1100"/>
            <a:t>当たり判定</a:t>
          </a:r>
          <a:r>
            <a:rPr kumimoji="1" lang="en-US" altLang="ja-JP" sz="1100"/>
            <a:t>Collider</a:t>
          </a:r>
          <a:br>
            <a:rPr kumimoji="1" lang="en-US" altLang="ja-JP" sz="1100"/>
          </a:br>
          <a:r>
            <a:rPr kumimoji="1" lang="ja-JP" altLang="ja-JP" sz="1100">
              <a:solidFill>
                <a:schemeClr val="lt1"/>
              </a:solidFill>
              <a:effectLst/>
              <a:latin typeface="+mn-lt"/>
              <a:ea typeface="+mn-ea"/>
              <a:cs typeface="+mn-cs"/>
            </a:rPr>
            <a:t>常にある</a:t>
          </a:r>
          <a:r>
            <a:rPr kumimoji="1" lang="en-US" altLang="ja-JP" sz="1100">
              <a:solidFill>
                <a:schemeClr val="lt1"/>
              </a:solidFill>
              <a:effectLst/>
              <a:latin typeface="+mn-lt"/>
              <a:ea typeface="+mn-ea"/>
              <a:cs typeface="+mn-cs"/>
            </a:rPr>
            <a:t>ON/OFF</a:t>
          </a:r>
          <a:endParaRPr kumimoji="1" lang="en-US" altLang="ja-JP" sz="1100"/>
        </a:p>
        <a:p>
          <a:pPr algn="l"/>
          <a:endParaRPr kumimoji="1" lang="ja-JP" altLang="en-US" sz="1100"/>
        </a:p>
      </xdr:txBody>
    </xdr:sp>
    <xdr:clientData/>
  </xdr:twoCellAnchor>
  <xdr:twoCellAnchor>
    <xdr:from>
      <xdr:col>38</xdr:col>
      <xdr:colOff>231321</xdr:colOff>
      <xdr:row>25</xdr:row>
      <xdr:rowOff>108857</xdr:rowOff>
    </xdr:from>
    <xdr:to>
      <xdr:col>43</xdr:col>
      <xdr:colOff>201386</xdr:colOff>
      <xdr:row>28</xdr:row>
      <xdr:rowOff>187778</xdr:rowOff>
    </xdr:to>
    <xdr:sp macro="" textlink="">
      <xdr:nvSpPr>
        <xdr:cNvPr id="9" name="正方形/長方形 8">
          <a:extLst>
            <a:ext uri="{FF2B5EF4-FFF2-40B4-BE49-F238E27FC236}">
              <a16:creationId xmlns:a16="http://schemas.microsoft.com/office/drawing/2014/main" id="{F1D8097C-4633-4B47-80D4-EE8820FA9CC8}"/>
            </a:ext>
          </a:extLst>
        </xdr:cNvPr>
        <xdr:cNvSpPr/>
      </xdr:nvSpPr>
      <xdr:spPr>
        <a:xfrm>
          <a:off x="12123964" y="6232071"/>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やられ</a:t>
          </a:r>
          <a:br>
            <a:rPr kumimoji="1" lang="en-US" altLang="ja-JP" sz="1100"/>
          </a:br>
          <a:r>
            <a:rPr kumimoji="1" lang="ja-JP" altLang="en-US" sz="1100"/>
            <a:t>判定</a:t>
          </a:r>
          <a:r>
            <a:rPr kumimoji="1" lang="en-US" altLang="ja-JP" sz="1100"/>
            <a:t>Collider</a:t>
          </a:r>
          <a:br>
            <a:rPr kumimoji="1" lang="en-US" altLang="ja-JP" sz="1100"/>
          </a:br>
          <a:r>
            <a:rPr kumimoji="1" lang="ja-JP" altLang="en-US" sz="1100"/>
            <a:t>常にある</a:t>
          </a:r>
          <a:r>
            <a:rPr kumimoji="1" lang="en-US" altLang="ja-JP" sz="1100"/>
            <a:t>ON/OFF</a:t>
          </a:r>
        </a:p>
        <a:p>
          <a:pPr algn="l"/>
          <a:endParaRPr kumimoji="1" lang="ja-JP" altLang="en-US" sz="1100"/>
        </a:p>
      </xdr:txBody>
    </xdr:sp>
    <xdr:clientData/>
  </xdr:twoCellAnchor>
  <xdr:twoCellAnchor>
    <xdr:from>
      <xdr:col>35</xdr:col>
      <xdr:colOff>142875</xdr:colOff>
      <xdr:row>19</xdr:row>
      <xdr:rowOff>95250</xdr:rowOff>
    </xdr:from>
    <xdr:to>
      <xdr:col>41</xdr:col>
      <xdr:colOff>59871</xdr:colOff>
      <xdr:row>25</xdr:row>
      <xdr:rowOff>108857</xdr:rowOff>
    </xdr:to>
    <xdr:cxnSp macro="">
      <xdr:nvCxnSpPr>
        <xdr:cNvPr id="11" name="直線矢印コネクタ 10">
          <a:extLst>
            <a:ext uri="{FF2B5EF4-FFF2-40B4-BE49-F238E27FC236}">
              <a16:creationId xmlns:a16="http://schemas.microsoft.com/office/drawing/2014/main" id="{1A03EB29-5809-4A44-8689-CC90B57AA4F7}"/>
            </a:ext>
          </a:extLst>
        </xdr:cNvPr>
        <xdr:cNvCxnSpPr>
          <a:stCxn id="4" idx="2"/>
          <a:endCxn id="9" idx="0"/>
        </xdr:cNvCxnSpPr>
      </xdr:nvCxnSpPr>
      <xdr:spPr>
        <a:xfrm>
          <a:off x="11096625" y="4748893"/>
          <a:ext cx="1794782" cy="148317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239486</xdr:colOff>
      <xdr:row>19</xdr:row>
      <xdr:rowOff>95250</xdr:rowOff>
    </xdr:from>
    <xdr:to>
      <xdr:col>35</xdr:col>
      <xdr:colOff>142875</xdr:colOff>
      <xdr:row>25</xdr:row>
      <xdr:rowOff>125186</xdr:rowOff>
    </xdr:to>
    <xdr:cxnSp macro="">
      <xdr:nvCxnSpPr>
        <xdr:cNvPr id="15" name="直線矢印コネクタ 14">
          <a:extLst>
            <a:ext uri="{FF2B5EF4-FFF2-40B4-BE49-F238E27FC236}">
              <a16:creationId xmlns:a16="http://schemas.microsoft.com/office/drawing/2014/main" id="{D3F26736-F687-4F47-A3AF-255F380F201E}"/>
            </a:ext>
          </a:extLst>
        </xdr:cNvPr>
        <xdr:cNvCxnSpPr>
          <a:stCxn id="4" idx="2"/>
          <a:endCxn id="6" idx="0"/>
        </xdr:cNvCxnSpPr>
      </xdr:nvCxnSpPr>
      <xdr:spPr>
        <a:xfrm flipH="1">
          <a:off x="10880272" y="4748893"/>
          <a:ext cx="216353" cy="149950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142875</xdr:colOff>
      <xdr:row>19</xdr:row>
      <xdr:rowOff>95250</xdr:rowOff>
    </xdr:from>
    <xdr:to>
      <xdr:col>48</xdr:col>
      <xdr:colOff>46265</xdr:colOff>
      <xdr:row>25</xdr:row>
      <xdr:rowOff>81644</xdr:rowOff>
    </xdr:to>
    <xdr:cxnSp macro="">
      <xdr:nvCxnSpPr>
        <xdr:cNvPr id="18" name="直線矢印コネクタ 17">
          <a:extLst>
            <a:ext uri="{FF2B5EF4-FFF2-40B4-BE49-F238E27FC236}">
              <a16:creationId xmlns:a16="http://schemas.microsoft.com/office/drawing/2014/main" id="{115D434C-23B9-4028-845D-04BACFD15C8A}"/>
            </a:ext>
          </a:extLst>
        </xdr:cNvPr>
        <xdr:cNvCxnSpPr>
          <a:stCxn id="4" idx="2"/>
          <a:endCxn id="21" idx="0"/>
        </xdr:cNvCxnSpPr>
      </xdr:nvCxnSpPr>
      <xdr:spPr>
        <a:xfrm>
          <a:off x="11096625" y="4748893"/>
          <a:ext cx="3971926" cy="145596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217715</xdr:colOff>
      <xdr:row>25</xdr:row>
      <xdr:rowOff>81644</xdr:rowOff>
    </xdr:from>
    <xdr:to>
      <xdr:col>50</xdr:col>
      <xdr:colOff>187780</xdr:colOff>
      <xdr:row>28</xdr:row>
      <xdr:rowOff>160565</xdr:rowOff>
    </xdr:to>
    <xdr:sp macro="" textlink="">
      <xdr:nvSpPr>
        <xdr:cNvPr id="21" name="正方形/長方形 20">
          <a:extLst>
            <a:ext uri="{FF2B5EF4-FFF2-40B4-BE49-F238E27FC236}">
              <a16:creationId xmlns:a16="http://schemas.microsoft.com/office/drawing/2014/main" id="{2E6300D1-C695-421E-BF17-F42F0CB94819}"/>
            </a:ext>
          </a:extLst>
        </xdr:cNvPr>
        <xdr:cNvSpPr/>
      </xdr:nvSpPr>
      <xdr:spPr>
        <a:xfrm>
          <a:off x="14301108" y="6204858"/>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攻撃</a:t>
          </a:r>
          <a:br>
            <a:rPr kumimoji="1" lang="en-US" altLang="ja-JP" sz="1100"/>
          </a:br>
          <a:r>
            <a:rPr kumimoji="1" lang="ja-JP" altLang="en-US" sz="1100"/>
            <a:t>判定</a:t>
          </a:r>
          <a:r>
            <a:rPr kumimoji="1" lang="en-US" altLang="ja-JP" sz="1100"/>
            <a:t>Collider</a:t>
          </a:r>
          <a:br>
            <a:rPr kumimoji="1" lang="en-US" altLang="ja-JP" sz="1100"/>
          </a:br>
          <a:r>
            <a:rPr kumimoji="1" lang="ja-JP" altLang="en-US" sz="1100"/>
            <a:t>毎回作る</a:t>
          </a:r>
          <a:endParaRPr kumimoji="1" lang="en-US" altLang="ja-JP" sz="1100"/>
        </a:p>
        <a:p>
          <a:pPr algn="l"/>
          <a:endParaRPr kumimoji="1" lang="ja-JP" altLang="en-U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174C6-79B8-40DF-BFBC-1FA41083861E}">
  <dimension ref="B3:E27"/>
  <sheetViews>
    <sheetView workbookViewId="0">
      <selection activeCell="C9" sqref="C9"/>
    </sheetView>
  </sheetViews>
  <sheetFormatPr defaultRowHeight="18.75"/>
  <cols>
    <col min="2" max="2" width="33" bestFit="1" customWidth="1"/>
    <col min="3" max="3" width="15" bestFit="1" customWidth="1"/>
    <col min="4" max="4" width="33.25" bestFit="1" customWidth="1"/>
    <col min="5" max="5" width="17.25" bestFit="1" customWidth="1"/>
  </cols>
  <sheetData>
    <row r="3" spans="2:5">
      <c r="B3" s="4" t="s">
        <v>4</v>
      </c>
      <c r="C3">
        <f>SUM(作業工数見積もり!E3:E92)</f>
        <v>92</v>
      </c>
    </row>
    <row r="4" spans="2:5">
      <c r="B4" s="5" t="s">
        <v>6</v>
      </c>
      <c r="C4">
        <f>SUMIF(作業工数見積もり!G3:G45,"完了",作業工数見積もり!E3:E45)</f>
        <v>6</v>
      </c>
      <c r="D4" t="s">
        <v>7</v>
      </c>
    </row>
    <row r="5" spans="2:5">
      <c r="B5" s="6" t="s">
        <v>8</v>
      </c>
      <c r="C5" s="2">
        <f ca="1">NETWORKDAYS(C6,C7)</f>
        <v>422</v>
      </c>
      <c r="D5" s="3">
        <f ca="1" xml:space="preserve"> C4 / C5</f>
        <v>1.4218009478672985E-2</v>
      </c>
    </row>
    <row r="6" spans="2:5">
      <c r="B6" s="7" t="s">
        <v>9</v>
      </c>
      <c r="C6" s="1">
        <f>DATE(2024,11,7)</f>
        <v>45603</v>
      </c>
    </row>
    <row r="7" spans="2:5">
      <c r="B7" s="8" t="s">
        <v>11</v>
      </c>
      <c r="C7" s="1">
        <f ca="1">TODAY()</f>
        <v>46194</v>
      </c>
    </row>
    <row r="9" spans="2:5">
      <c r="D9" t="s">
        <v>12</v>
      </c>
      <c r="E9" t="s">
        <v>13</v>
      </c>
    </row>
    <row r="10" spans="2:5">
      <c r="B10" s="4" t="s">
        <v>15</v>
      </c>
      <c r="C10" s="1">
        <f>DATE(2024,12,20)</f>
        <v>45646</v>
      </c>
      <c r="D10" s="2">
        <f ca="1">NETWORKDAYS(TODAY(),C10)</f>
        <v>-391</v>
      </c>
      <c r="E10" s="3">
        <f ca="1">($C$3 - $C$4) / D10</f>
        <v>-0.21994884910485935</v>
      </c>
    </row>
    <row r="11" spans="2:5">
      <c r="B11" s="9" t="s">
        <v>16</v>
      </c>
      <c r="C11" s="1">
        <f>DATE(2025,1,17)</f>
        <v>45674</v>
      </c>
      <c r="D11" s="2">
        <f ca="1">NETWORKDAYS(TODAY(),C11)</f>
        <v>-371</v>
      </c>
      <c r="E11" s="3">
        <f ca="1">($C$3 - $C$4) / D11</f>
        <v>-0.23180592991913745</v>
      </c>
    </row>
    <row r="12" spans="2:5">
      <c r="B12" s="6" t="s">
        <v>17</v>
      </c>
      <c r="C12" s="1">
        <f>DATE(2025,2,3)</f>
        <v>45691</v>
      </c>
      <c r="D12" s="2">
        <f ca="1">NETWORKDAYS(TODAY(),C12)</f>
        <v>-360</v>
      </c>
      <c r="E12" s="3">
        <f ca="1">($C$3 - $C$4) / D12</f>
        <v>-0.2388888888888889</v>
      </c>
    </row>
    <row r="18" spans="2:4">
      <c r="B18" s="12" t="s">
        <v>1</v>
      </c>
      <c r="D18" t="s">
        <v>23</v>
      </c>
    </row>
    <row r="19" spans="2:4">
      <c r="B19" s="10" t="s">
        <v>19</v>
      </c>
      <c r="D19" t="s">
        <v>24</v>
      </c>
    </row>
    <row r="20" spans="2:4">
      <c r="B20" s="10" t="s">
        <v>20</v>
      </c>
      <c r="D20" t="s">
        <v>25</v>
      </c>
    </row>
    <row r="21" spans="2:4">
      <c r="B21" s="10" t="s">
        <v>21</v>
      </c>
      <c r="D21" t="s">
        <v>26</v>
      </c>
    </row>
    <row r="22" spans="2:4">
      <c r="B22" s="11" t="s">
        <v>22</v>
      </c>
      <c r="D22" t="s">
        <v>27</v>
      </c>
    </row>
    <row r="24" spans="2:4">
      <c r="B24" s="10" t="s">
        <v>28</v>
      </c>
      <c r="C24" s="24">
        <v>45631</v>
      </c>
    </row>
    <row r="25" spans="2:4">
      <c r="B25" s="10" t="s">
        <v>0</v>
      </c>
      <c r="C25" s="24">
        <v>45662</v>
      </c>
    </row>
    <row r="26" spans="2:4">
      <c r="B26" s="10" t="s">
        <v>29</v>
      </c>
      <c r="C26" s="24">
        <v>45677</v>
      </c>
    </row>
    <row r="27" spans="2:4">
      <c r="B27" s="10" t="s">
        <v>30</v>
      </c>
      <c r="C27" s="24">
        <v>45682</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71"/>
  <sheetViews>
    <sheetView zoomScale="70" zoomScaleNormal="70" workbookViewId="0">
      <selection activeCell="B25" sqref="B25"/>
    </sheetView>
  </sheetViews>
  <sheetFormatPr defaultRowHeight="18.75" outlineLevelRow="1"/>
  <cols>
    <col min="1" max="1" width="69.625" style="10" bestFit="1" customWidth="1"/>
    <col min="2" max="2" width="42.625" style="10" bestFit="1" customWidth="1"/>
    <col min="3" max="3" width="15.375" style="16" bestFit="1" customWidth="1"/>
    <col min="4" max="4" width="19.25" style="16" bestFit="1" customWidth="1"/>
    <col min="5" max="6" width="17.125" style="16" bestFit="1" customWidth="1"/>
    <col min="7" max="7" width="19.25" style="16" bestFit="1" customWidth="1"/>
    <col min="8" max="8" width="9" style="10"/>
    <col min="9" max="9" width="18.125" style="10" bestFit="1" customWidth="1"/>
    <col min="10" max="11" width="11.5" style="10" bestFit="1" customWidth="1"/>
    <col min="12" max="12" width="9.5" style="10" bestFit="1" customWidth="1"/>
    <col min="13" max="14" width="9" style="10"/>
    <col min="16" max="16384" width="9" style="10"/>
  </cols>
  <sheetData>
    <row r="1" spans="1:12">
      <c r="A1" s="10" t="s">
        <v>44</v>
      </c>
      <c r="B1" s="10" t="s">
        <v>48</v>
      </c>
    </row>
    <row r="2" spans="1:12">
      <c r="A2" s="14" t="s">
        <v>31</v>
      </c>
      <c r="B2" s="14" t="s">
        <v>32</v>
      </c>
      <c r="C2" s="15" t="s">
        <v>1</v>
      </c>
      <c r="D2" s="15" t="s">
        <v>2</v>
      </c>
      <c r="E2" s="15" t="s">
        <v>33</v>
      </c>
      <c r="F2" s="15" t="s">
        <v>3</v>
      </c>
      <c r="G2" s="15" t="s">
        <v>34</v>
      </c>
      <c r="J2" s="10" t="s">
        <v>73</v>
      </c>
      <c r="K2" s="10" t="s">
        <v>74</v>
      </c>
      <c r="L2" s="10" t="s">
        <v>72</v>
      </c>
    </row>
    <row r="3" spans="1:12">
      <c r="A3" s="17" t="s">
        <v>35</v>
      </c>
      <c r="B3" s="10" t="s">
        <v>56</v>
      </c>
      <c r="C3" s="16" t="s">
        <v>5</v>
      </c>
      <c r="D3" s="16" t="s">
        <v>18</v>
      </c>
      <c r="E3" s="16">
        <v>1</v>
      </c>
      <c r="F3" s="16">
        <v>1</v>
      </c>
      <c r="G3" s="16" t="s">
        <v>39</v>
      </c>
      <c r="I3" s="25" t="s">
        <v>75</v>
      </c>
      <c r="J3" s="10">
        <f ca="1">SUM(J4,J5,J6)</f>
        <v>87</v>
      </c>
      <c r="K3" s="10">
        <f>SUMIFS(E3:E62,G3:G62,"未着手")</f>
        <v>80</v>
      </c>
      <c r="L3" s="10">
        <f>SUM(F3:F62)</f>
        <v>29</v>
      </c>
    </row>
    <row r="4" spans="1:12">
      <c r="A4" s="17" t="s">
        <v>35</v>
      </c>
      <c r="B4" s="10" t="s">
        <v>57</v>
      </c>
      <c r="C4" s="16" t="s">
        <v>14</v>
      </c>
      <c r="D4" s="16" t="s">
        <v>10</v>
      </c>
      <c r="E4" s="16">
        <v>0.5</v>
      </c>
      <c r="G4" s="16" t="s">
        <v>39</v>
      </c>
      <c r="I4" s="26" t="s">
        <v>28</v>
      </c>
      <c r="J4" s="29">
        <f ca="1">SUMIF(D3:D60,I4,E3:E59)</f>
        <v>85.5</v>
      </c>
      <c r="K4" s="10">
        <f>SUMIFS($E$3:$E$62,$G$3:$G$62,"未着手",$D$3:$D$62,I4)</f>
        <v>78.5</v>
      </c>
      <c r="L4" s="10">
        <f>SUMIFS(F3:F62,D3:D62,I4)</f>
        <v>29</v>
      </c>
    </row>
    <row r="5" spans="1:12">
      <c r="A5" s="17" t="s">
        <v>35</v>
      </c>
      <c r="B5" s="10" t="s">
        <v>58</v>
      </c>
      <c r="C5" s="16" t="s">
        <v>14</v>
      </c>
      <c r="D5" s="16" t="s">
        <v>10</v>
      </c>
      <c r="E5" s="16">
        <v>0.5</v>
      </c>
      <c r="G5" s="16" t="s">
        <v>39</v>
      </c>
      <c r="I5" s="27" t="s">
        <v>0</v>
      </c>
      <c r="J5" s="29">
        <f ca="1">SUMIF(D4:D62,I5,E4:E60)</f>
        <v>1.5</v>
      </c>
      <c r="K5" s="10">
        <f>SUMIFS($E$3:$E$62,$G$3:$G$62,"未着手",$D$3:$D$62,I5)</f>
        <v>1.5</v>
      </c>
      <c r="L5" s="10">
        <f>SUMIFS(F4:F63,D4:D63,I5)</f>
        <v>0</v>
      </c>
    </row>
    <row r="6" spans="1:12">
      <c r="A6" s="17" t="s">
        <v>35</v>
      </c>
      <c r="B6" s="10" t="s">
        <v>36</v>
      </c>
      <c r="C6" s="16" t="s">
        <v>14</v>
      </c>
      <c r="D6" s="16" t="s">
        <v>10</v>
      </c>
      <c r="E6" s="16">
        <v>0.5</v>
      </c>
      <c r="G6" s="16" t="s">
        <v>39</v>
      </c>
      <c r="I6" s="28" t="s">
        <v>29</v>
      </c>
      <c r="J6" s="29">
        <f ca="1">SUMIF(D5:D63,I6,E5:E62)</f>
        <v>0</v>
      </c>
      <c r="K6" s="10">
        <f>SUMIFS($E$3:$E$62,$G$3:$G$62,"未着手",$D$3:$D$62,I6)</f>
        <v>0</v>
      </c>
      <c r="L6" s="10">
        <f>SUMIFS(F5:F63,D5:D63,I6)</f>
        <v>0</v>
      </c>
    </row>
    <row r="7" spans="1:12">
      <c r="A7" s="18" t="s">
        <v>37</v>
      </c>
      <c r="B7" s="10" t="s">
        <v>54</v>
      </c>
      <c r="C7" s="16" t="s">
        <v>5</v>
      </c>
      <c r="D7" s="16" t="s">
        <v>18</v>
      </c>
      <c r="E7" s="16">
        <v>0.5</v>
      </c>
      <c r="F7" s="16">
        <v>2</v>
      </c>
      <c r="G7" s="16" t="s">
        <v>39</v>
      </c>
      <c r="I7" s="25" t="s">
        <v>71</v>
      </c>
      <c r="J7" s="10">
        <f>COUNTIF(G3:G60,"作業中")</f>
        <v>0</v>
      </c>
    </row>
    <row r="8" spans="1:12">
      <c r="A8" s="18" t="s">
        <v>37</v>
      </c>
      <c r="B8" s="10" t="s">
        <v>59</v>
      </c>
      <c r="C8" s="16" t="s">
        <v>5</v>
      </c>
      <c r="D8" s="16" t="s">
        <v>18</v>
      </c>
      <c r="E8" s="16">
        <v>2</v>
      </c>
      <c r="F8" s="16">
        <v>3</v>
      </c>
      <c r="G8" s="16" t="s">
        <v>39</v>
      </c>
    </row>
    <row r="9" spans="1:12">
      <c r="A9" s="18" t="s">
        <v>37</v>
      </c>
      <c r="B9" s="10" t="s">
        <v>87</v>
      </c>
      <c r="C9" s="16" t="s">
        <v>5</v>
      </c>
      <c r="D9" s="16" t="s">
        <v>18</v>
      </c>
      <c r="G9" s="16" t="s">
        <v>39</v>
      </c>
    </row>
    <row r="10" spans="1:12">
      <c r="A10" s="18" t="s">
        <v>37</v>
      </c>
      <c r="B10" s="10" t="s">
        <v>88</v>
      </c>
      <c r="C10" s="16" t="s">
        <v>5</v>
      </c>
      <c r="D10" s="16" t="s">
        <v>18</v>
      </c>
      <c r="G10" s="16" t="s">
        <v>39</v>
      </c>
    </row>
    <row r="11" spans="1:12">
      <c r="A11" s="19" t="s">
        <v>45</v>
      </c>
      <c r="B11" s="39" t="s">
        <v>92</v>
      </c>
      <c r="C11" s="16" t="s">
        <v>5</v>
      </c>
      <c r="D11" s="16" t="s">
        <v>18</v>
      </c>
      <c r="G11" s="16" t="s">
        <v>39</v>
      </c>
    </row>
    <row r="12" spans="1:12" outlineLevel="1">
      <c r="A12" s="19" t="s">
        <v>45</v>
      </c>
      <c r="B12" s="10" t="s">
        <v>43</v>
      </c>
      <c r="C12" s="16" t="s">
        <v>5</v>
      </c>
      <c r="D12" s="16" t="s">
        <v>18</v>
      </c>
      <c r="E12" s="16">
        <v>1</v>
      </c>
      <c r="F12" s="16">
        <v>1</v>
      </c>
      <c r="G12" s="16" t="s">
        <v>70</v>
      </c>
    </row>
    <row r="13" spans="1:12" outlineLevel="1">
      <c r="A13" s="19" t="s">
        <v>45</v>
      </c>
      <c r="B13" s="10" t="s">
        <v>69</v>
      </c>
      <c r="C13" s="16" t="s">
        <v>5</v>
      </c>
      <c r="D13" s="16" t="s">
        <v>18</v>
      </c>
      <c r="E13" s="16">
        <v>1</v>
      </c>
      <c r="F13" s="16">
        <v>1</v>
      </c>
      <c r="G13" s="16" t="s">
        <v>70</v>
      </c>
    </row>
    <row r="14" spans="1:12" outlineLevel="1">
      <c r="A14" s="19"/>
      <c r="B14" s="10" t="s">
        <v>136</v>
      </c>
    </row>
    <row r="15" spans="1:12" outlineLevel="1">
      <c r="A15" s="19"/>
      <c r="B15" s="10" t="s">
        <v>137</v>
      </c>
    </row>
    <row r="16" spans="1:12" outlineLevel="1">
      <c r="A16" s="19"/>
      <c r="B16" s="10" t="s">
        <v>138</v>
      </c>
    </row>
    <row r="17" spans="1:7">
      <c r="A17" s="19" t="s">
        <v>45</v>
      </c>
      <c r="B17" s="39" t="s">
        <v>93</v>
      </c>
      <c r="C17" s="16" t="s">
        <v>5</v>
      </c>
      <c r="D17" s="16" t="s">
        <v>18</v>
      </c>
      <c r="G17" s="16" t="s">
        <v>39</v>
      </c>
    </row>
    <row r="18" spans="1:7" outlineLevel="1">
      <c r="A18" s="19" t="s">
        <v>45</v>
      </c>
      <c r="B18" s="10" t="s">
        <v>83</v>
      </c>
      <c r="C18" s="16" t="s">
        <v>5</v>
      </c>
      <c r="D18" s="16" t="s">
        <v>18</v>
      </c>
      <c r="E18" s="16">
        <v>1</v>
      </c>
      <c r="F18" s="16">
        <v>1</v>
      </c>
      <c r="G18" s="16" t="s">
        <v>70</v>
      </c>
    </row>
    <row r="19" spans="1:7" outlineLevel="1">
      <c r="A19" s="19" t="s">
        <v>45</v>
      </c>
      <c r="B19" s="10" t="s">
        <v>84</v>
      </c>
      <c r="C19" s="16" t="s">
        <v>5</v>
      </c>
      <c r="D19" s="16" t="s">
        <v>18</v>
      </c>
      <c r="E19" s="16">
        <v>1</v>
      </c>
      <c r="F19" s="16">
        <v>1</v>
      </c>
      <c r="G19" s="16" t="s">
        <v>70</v>
      </c>
    </row>
    <row r="20" spans="1:7" outlineLevel="1">
      <c r="A20" s="19" t="s">
        <v>45</v>
      </c>
      <c r="B20" s="10" t="s">
        <v>85</v>
      </c>
      <c r="C20" s="16" t="s">
        <v>5</v>
      </c>
      <c r="D20" s="16" t="s">
        <v>18</v>
      </c>
      <c r="E20" s="16">
        <v>1</v>
      </c>
      <c r="F20" s="16">
        <v>1</v>
      </c>
      <c r="G20" s="16" t="s">
        <v>70</v>
      </c>
    </row>
    <row r="21" spans="1:7" outlineLevel="1">
      <c r="A21" s="19" t="s">
        <v>45</v>
      </c>
      <c r="B21" s="10" t="s">
        <v>165</v>
      </c>
      <c r="C21" s="16" t="s">
        <v>5</v>
      </c>
      <c r="D21" s="16" t="s">
        <v>18</v>
      </c>
      <c r="G21" s="16" t="s">
        <v>39</v>
      </c>
    </row>
    <row r="22" spans="1:7">
      <c r="A22" s="19" t="s">
        <v>45</v>
      </c>
      <c r="B22" s="39" t="s">
        <v>94</v>
      </c>
      <c r="C22" s="16" t="s">
        <v>5</v>
      </c>
      <c r="D22" s="16" t="s">
        <v>18</v>
      </c>
      <c r="G22" s="16" t="s">
        <v>39</v>
      </c>
    </row>
    <row r="23" spans="1:7" outlineLevel="1">
      <c r="A23" s="19" t="s">
        <v>45</v>
      </c>
      <c r="B23" s="10" t="s">
        <v>166</v>
      </c>
      <c r="C23" s="16" t="s">
        <v>5</v>
      </c>
      <c r="D23" s="16" t="s">
        <v>18</v>
      </c>
      <c r="E23" s="16">
        <v>3</v>
      </c>
      <c r="G23" s="16" t="s">
        <v>39</v>
      </c>
    </row>
    <row r="24" spans="1:7" outlineLevel="1">
      <c r="A24" s="19"/>
      <c r="B24" s="10" t="s">
        <v>167</v>
      </c>
    </row>
    <row r="25" spans="1:7">
      <c r="A25" s="19" t="s">
        <v>45</v>
      </c>
      <c r="B25" s="39" t="s">
        <v>95</v>
      </c>
      <c r="C25" s="16" t="s">
        <v>5</v>
      </c>
      <c r="D25" s="16" t="s">
        <v>18</v>
      </c>
      <c r="G25" s="16" t="s">
        <v>39</v>
      </c>
    </row>
    <row r="26" spans="1:7" outlineLevel="1">
      <c r="A26" s="19" t="s">
        <v>45</v>
      </c>
      <c r="B26" s="10" t="s">
        <v>89</v>
      </c>
      <c r="C26" s="16" t="s">
        <v>5</v>
      </c>
      <c r="D26" s="16" t="s">
        <v>18</v>
      </c>
      <c r="E26" s="16">
        <v>24</v>
      </c>
      <c r="G26" s="16" t="s">
        <v>39</v>
      </c>
    </row>
    <row r="27" spans="1:7">
      <c r="A27" s="19" t="s">
        <v>45</v>
      </c>
      <c r="B27" s="39" t="s">
        <v>96</v>
      </c>
      <c r="C27" s="16" t="s">
        <v>5</v>
      </c>
      <c r="D27" s="16" t="s">
        <v>18</v>
      </c>
      <c r="G27" s="16" t="s">
        <v>39</v>
      </c>
    </row>
    <row r="28" spans="1:7" outlineLevel="1">
      <c r="A28" s="19" t="s">
        <v>45</v>
      </c>
      <c r="B28" s="10" t="s">
        <v>90</v>
      </c>
      <c r="C28" s="16" t="s">
        <v>5</v>
      </c>
      <c r="D28" s="16" t="s">
        <v>18</v>
      </c>
      <c r="E28" s="16">
        <v>1</v>
      </c>
      <c r="F28" s="16">
        <v>1</v>
      </c>
      <c r="G28" s="16" t="s">
        <v>70</v>
      </c>
    </row>
    <row r="29" spans="1:7" outlineLevel="1">
      <c r="A29" s="19" t="s">
        <v>45</v>
      </c>
      <c r="B29" s="10" t="s">
        <v>99</v>
      </c>
      <c r="C29" s="16" t="s">
        <v>5</v>
      </c>
      <c r="D29" s="16" t="s">
        <v>18</v>
      </c>
      <c r="E29" s="16">
        <v>2</v>
      </c>
      <c r="G29" s="16" t="s">
        <v>39</v>
      </c>
    </row>
    <row r="30" spans="1:7" outlineLevel="1">
      <c r="A30" s="19" t="s">
        <v>45</v>
      </c>
      <c r="B30" s="10" t="s">
        <v>97</v>
      </c>
      <c r="C30" s="16" t="s">
        <v>5</v>
      </c>
      <c r="D30" s="16" t="s">
        <v>18</v>
      </c>
      <c r="E30" s="16">
        <v>4</v>
      </c>
      <c r="G30" s="16" t="s">
        <v>39</v>
      </c>
    </row>
    <row r="31" spans="1:7" outlineLevel="1">
      <c r="A31" s="19" t="s">
        <v>45</v>
      </c>
      <c r="B31" s="10" t="s">
        <v>98</v>
      </c>
      <c r="C31" s="16" t="s">
        <v>5</v>
      </c>
      <c r="D31" s="16" t="s">
        <v>18</v>
      </c>
      <c r="E31" s="16">
        <v>4</v>
      </c>
      <c r="G31" s="16" t="s">
        <v>39</v>
      </c>
    </row>
    <row r="32" spans="1:7">
      <c r="A32" s="19" t="s">
        <v>45</v>
      </c>
      <c r="B32" s="39"/>
      <c r="C32" s="16" t="s">
        <v>5</v>
      </c>
      <c r="D32" s="16" t="s">
        <v>18</v>
      </c>
      <c r="G32" s="16" t="s">
        <v>39</v>
      </c>
    </row>
    <row r="33" spans="1:7" outlineLevel="1">
      <c r="A33" s="19" t="s">
        <v>45</v>
      </c>
      <c r="C33" s="16" t="s">
        <v>5</v>
      </c>
      <c r="D33" s="16" t="s">
        <v>18</v>
      </c>
      <c r="G33" s="16" t="s">
        <v>39</v>
      </c>
    </row>
    <row r="34" spans="1:7" outlineLevel="1">
      <c r="A34" s="19" t="s">
        <v>45</v>
      </c>
      <c r="C34" s="16" t="s">
        <v>5</v>
      </c>
      <c r="D34" s="16" t="s">
        <v>18</v>
      </c>
      <c r="G34" s="16" t="s">
        <v>39</v>
      </c>
    </row>
    <row r="35" spans="1:7" outlineLevel="1">
      <c r="A35" s="19" t="s">
        <v>45</v>
      </c>
      <c r="C35" s="16" t="s">
        <v>5</v>
      </c>
      <c r="D35" s="16" t="s">
        <v>18</v>
      </c>
      <c r="G35" s="16" t="s">
        <v>39</v>
      </c>
    </row>
    <row r="36" spans="1:7" outlineLevel="1">
      <c r="A36" s="19" t="s">
        <v>45</v>
      </c>
      <c r="B36" s="39" t="s">
        <v>132</v>
      </c>
      <c r="C36" s="16" t="s">
        <v>5</v>
      </c>
      <c r="D36" s="16" t="s">
        <v>18</v>
      </c>
    </row>
    <row r="37" spans="1:7" outlineLevel="1">
      <c r="A37" s="19" t="s">
        <v>45</v>
      </c>
      <c r="B37" s="10" t="s">
        <v>135</v>
      </c>
      <c r="C37" s="16" t="s">
        <v>5</v>
      </c>
      <c r="D37" s="16" t="s">
        <v>18</v>
      </c>
    </row>
    <row r="38" spans="1:7" outlineLevel="1">
      <c r="A38" s="19" t="s">
        <v>45</v>
      </c>
      <c r="B38" s="39" t="s">
        <v>133</v>
      </c>
      <c r="C38" s="16" t="s">
        <v>5</v>
      </c>
      <c r="D38" s="16" t="s">
        <v>18</v>
      </c>
    </row>
    <row r="39" spans="1:7" outlineLevel="1">
      <c r="A39" s="19" t="s">
        <v>45</v>
      </c>
      <c r="B39" s="10" t="s">
        <v>134</v>
      </c>
      <c r="C39" s="16" t="s">
        <v>5</v>
      </c>
      <c r="D39" s="16" t="s">
        <v>18</v>
      </c>
    </row>
    <row r="40" spans="1:7">
      <c r="A40" s="19" t="s">
        <v>45</v>
      </c>
      <c r="B40" s="10" t="s">
        <v>86</v>
      </c>
      <c r="C40" s="16" t="s">
        <v>5</v>
      </c>
      <c r="D40" s="16" t="s">
        <v>18</v>
      </c>
      <c r="E40" s="16">
        <v>1</v>
      </c>
      <c r="F40" s="16">
        <v>4</v>
      </c>
      <c r="G40" s="16" t="s">
        <v>39</v>
      </c>
    </row>
    <row r="41" spans="1:7">
      <c r="A41" s="19" t="s">
        <v>45</v>
      </c>
      <c r="B41" s="10" t="s">
        <v>46</v>
      </c>
      <c r="C41" s="16" t="s">
        <v>5</v>
      </c>
      <c r="D41" s="16" t="s">
        <v>18</v>
      </c>
      <c r="E41" s="16">
        <v>2</v>
      </c>
      <c r="F41" s="16">
        <v>2</v>
      </c>
      <c r="G41" s="16" t="s">
        <v>39</v>
      </c>
    </row>
    <row r="42" spans="1:7">
      <c r="A42" s="19" t="s">
        <v>45</v>
      </c>
      <c r="B42" s="10" t="s">
        <v>47</v>
      </c>
      <c r="C42" s="16" t="s">
        <v>5</v>
      </c>
      <c r="D42" s="16" t="s">
        <v>18</v>
      </c>
      <c r="E42" s="16">
        <v>2</v>
      </c>
      <c r="F42" s="16">
        <v>3</v>
      </c>
      <c r="G42" s="16" t="s">
        <v>39</v>
      </c>
    </row>
    <row r="43" spans="1:7">
      <c r="A43" s="19" t="s">
        <v>45</v>
      </c>
      <c r="B43" s="10" t="s">
        <v>51</v>
      </c>
      <c r="C43" s="16" t="s">
        <v>5</v>
      </c>
      <c r="D43" s="16" t="s">
        <v>18</v>
      </c>
      <c r="E43" s="16">
        <v>8</v>
      </c>
      <c r="F43" s="16">
        <v>3</v>
      </c>
      <c r="G43" s="16" t="s">
        <v>39</v>
      </c>
    </row>
    <row r="44" spans="1:7">
      <c r="A44" s="20" t="s">
        <v>49</v>
      </c>
      <c r="B44" s="10" t="s">
        <v>117</v>
      </c>
      <c r="C44" s="16" t="s">
        <v>5</v>
      </c>
      <c r="D44" s="16" t="s">
        <v>18</v>
      </c>
      <c r="G44" s="16" t="s">
        <v>39</v>
      </c>
    </row>
    <row r="45" spans="1:7">
      <c r="A45" s="20" t="s">
        <v>49</v>
      </c>
      <c r="B45" s="39" t="s">
        <v>100</v>
      </c>
      <c r="C45" s="16" t="s">
        <v>5</v>
      </c>
      <c r="D45" s="16" t="s">
        <v>18</v>
      </c>
      <c r="E45" s="16">
        <v>0.5</v>
      </c>
      <c r="F45" s="16">
        <v>0.5</v>
      </c>
      <c r="G45" s="16" t="s">
        <v>39</v>
      </c>
    </row>
    <row r="46" spans="1:7">
      <c r="A46" s="20" t="s">
        <v>49</v>
      </c>
      <c r="B46" s="10" t="s">
        <v>43</v>
      </c>
      <c r="C46" s="16" t="s">
        <v>5</v>
      </c>
      <c r="D46" s="16" t="s">
        <v>18</v>
      </c>
      <c r="E46" s="16">
        <v>0.5</v>
      </c>
      <c r="F46" s="16">
        <v>0.5</v>
      </c>
      <c r="G46" s="16" t="s">
        <v>39</v>
      </c>
    </row>
    <row r="47" spans="1:7">
      <c r="A47" s="20" t="s">
        <v>49</v>
      </c>
      <c r="B47" s="39" t="s">
        <v>93</v>
      </c>
      <c r="C47" s="16" t="s">
        <v>5</v>
      </c>
      <c r="D47" s="16" t="s">
        <v>18</v>
      </c>
      <c r="G47" s="16" t="s">
        <v>39</v>
      </c>
    </row>
    <row r="48" spans="1:7">
      <c r="A48" s="20" t="s">
        <v>49</v>
      </c>
      <c r="B48" s="10" t="s">
        <v>91</v>
      </c>
      <c r="C48" s="16" t="s">
        <v>5</v>
      </c>
      <c r="D48" s="16" t="s">
        <v>18</v>
      </c>
      <c r="G48" s="16" t="s">
        <v>39</v>
      </c>
    </row>
    <row r="49" spans="1:7">
      <c r="A49" s="20" t="s">
        <v>49</v>
      </c>
      <c r="B49" s="39" t="s">
        <v>101</v>
      </c>
      <c r="C49" s="16" t="s">
        <v>5</v>
      </c>
      <c r="D49" s="16" t="s">
        <v>18</v>
      </c>
      <c r="G49" s="16" t="s">
        <v>39</v>
      </c>
    </row>
    <row r="50" spans="1:7">
      <c r="A50" s="20" t="s">
        <v>49</v>
      </c>
      <c r="B50" s="10" t="s">
        <v>102</v>
      </c>
      <c r="C50" s="16" t="s">
        <v>5</v>
      </c>
      <c r="D50" s="16" t="s">
        <v>18</v>
      </c>
      <c r="G50" s="16" t="s">
        <v>39</v>
      </c>
    </row>
    <row r="51" spans="1:7">
      <c r="A51" s="20" t="s">
        <v>49</v>
      </c>
      <c r="B51" s="39" t="s">
        <v>103</v>
      </c>
      <c r="C51" s="16" t="s">
        <v>5</v>
      </c>
      <c r="D51" s="16" t="s">
        <v>18</v>
      </c>
      <c r="G51" s="16" t="s">
        <v>39</v>
      </c>
    </row>
    <row r="52" spans="1:7">
      <c r="A52" s="20" t="s">
        <v>49</v>
      </c>
      <c r="B52" s="10" t="s">
        <v>55</v>
      </c>
      <c r="C52" s="16" t="s">
        <v>5</v>
      </c>
      <c r="D52" s="16" t="s">
        <v>18</v>
      </c>
      <c r="E52" s="16">
        <v>2</v>
      </c>
      <c r="G52" s="16" t="s">
        <v>39</v>
      </c>
    </row>
    <row r="53" spans="1:7">
      <c r="A53" s="20" t="s">
        <v>49</v>
      </c>
      <c r="B53" s="39" t="s">
        <v>104</v>
      </c>
      <c r="C53" s="16" t="s">
        <v>5</v>
      </c>
      <c r="D53" s="16" t="s">
        <v>18</v>
      </c>
      <c r="G53" s="16" t="s">
        <v>39</v>
      </c>
    </row>
    <row r="54" spans="1:7">
      <c r="A54" s="20" t="s">
        <v>49</v>
      </c>
      <c r="B54" s="10" t="s">
        <v>105</v>
      </c>
      <c r="C54" s="16" t="s">
        <v>5</v>
      </c>
      <c r="D54" s="16" t="s">
        <v>18</v>
      </c>
      <c r="G54" s="16" t="s">
        <v>39</v>
      </c>
    </row>
    <row r="55" spans="1:7">
      <c r="A55" s="20" t="s">
        <v>49</v>
      </c>
      <c r="B55" s="10" t="s">
        <v>50</v>
      </c>
      <c r="C55" s="16" t="s">
        <v>5</v>
      </c>
      <c r="D55" s="16" t="s">
        <v>18</v>
      </c>
      <c r="E55" s="16">
        <v>1</v>
      </c>
      <c r="F55" s="16">
        <v>3</v>
      </c>
      <c r="G55" s="16" t="s">
        <v>39</v>
      </c>
    </row>
    <row r="56" spans="1:7">
      <c r="A56" s="21" t="s">
        <v>40</v>
      </c>
      <c r="B56" s="10" t="s">
        <v>106</v>
      </c>
      <c r="C56" s="16" t="s">
        <v>5</v>
      </c>
      <c r="D56" s="16" t="s">
        <v>18</v>
      </c>
      <c r="E56" s="16">
        <v>1</v>
      </c>
      <c r="F56" s="16">
        <v>1</v>
      </c>
      <c r="G56" s="16" t="s">
        <v>70</v>
      </c>
    </row>
    <row r="57" spans="1:7">
      <c r="A57" s="21" t="s">
        <v>40</v>
      </c>
      <c r="B57" s="10" t="s">
        <v>107</v>
      </c>
      <c r="C57" s="16" t="s">
        <v>5</v>
      </c>
      <c r="D57" s="16" t="s">
        <v>18</v>
      </c>
      <c r="E57" s="16">
        <v>12</v>
      </c>
      <c r="G57" s="16" t="s">
        <v>39</v>
      </c>
    </row>
    <row r="58" spans="1:7">
      <c r="A58" s="21" t="s">
        <v>40</v>
      </c>
      <c r="B58" s="10" t="s">
        <v>108</v>
      </c>
      <c r="C58" s="16" t="s">
        <v>5</v>
      </c>
      <c r="D58" s="16" t="s">
        <v>18</v>
      </c>
      <c r="E58" s="16">
        <v>6</v>
      </c>
      <c r="G58" s="16" t="s">
        <v>39</v>
      </c>
    </row>
    <row r="59" spans="1:7">
      <c r="A59" s="21" t="s">
        <v>40</v>
      </c>
      <c r="B59" s="10" t="s">
        <v>53</v>
      </c>
      <c r="C59" s="16" t="s">
        <v>5</v>
      </c>
      <c r="D59" s="16" t="s">
        <v>18</v>
      </c>
      <c r="E59" s="16">
        <v>3</v>
      </c>
      <c r="G59" s="16" t="s">
        <v>39</v>
      </c>
    </row>
    <row r="60" spans="1:7">
      <c r="A60" s="22" t="s">
        <v>41</v>
      </c>
      <c r="B60" s="10" t="s">
        <v>109</v>
      </c>
      <c r="C60" s="16" t="s">
        <v>5</v>
      </c>
      <c r="D60" s="16" t="s">
        <v>18</v>
      </c>
      <c r="G60" s="16" t="s">
        <v>39</v>
      </c>
    </row>
    <row r="61" spans="1:7">
      <c r="A61" s="22" t="s">
        <v>41</v>
      </c>
      <c r="B61" s="10" t="s">
        <v>110</v>
      </c>
      <c r="C61" s="16" t="s">
        <v>5</v>
      </c>
      <c r="D61" s="16" t="s">
        <v>18</v>
      </c>
      <c r="G61" s="16" t="s">
        <v>39</v>
      </c>
    </row>
    <row r="62" spans="1:7">
      <c r="A62" s="23" t="s">
        <v>42</v>
      </c>
      <c r="C62" s="16" t="s">
        <v>5</v>
      </c>
      <c r="D62" s="16" t="s">
        <v>18</v>
      </c>
      <c r="G62" s="16" t="s">
        <v>39</v>
      </c>
    </row>
    <row r="63" spans="1:7">
      <c r="A63" s="10" t="s">
        <v>61</v>
      </c>
      <c r="C63" s="16" t="s">
        <v>5</v>
      </c>
      <c r="D63" s="16" t="s">
        <v>18</v>
      </c>
      <c r="G63" s="16" t="s">
        <v>39</v>
      </c>
    </row>
    <row r="64" spans="1:7">
      <c r="A64" s="13" t="s">
        <v>38</v>
      </c>
      <c r="B64" s="10" t="s">
        <v>52</v>
      </c>
      <c r="C64" s="16" t="s">
        <v>5</v>
      </c>
      <c r="D64" s="16" t="s">
        <v>18</v>
      </c>
      <c r="E64" s="16">
        <v>3</v>
      </c>
      <c r="G64" s="16" t="s">
        <v>39</v>
      </c>
    </row>
    <row r="65" spans="1:7">
      <c r="A65" s="13" t="s">
        <v>38</v>
      </c>
      <c r="B65" s="10" t="s">
        <v>60</v>
      </c>
      <c r="C65" s="16" t="s">
        <v>5</v>
      </c>
      <c r="D65" s="16" t="s">
        <v>18</v>
      </c>
      <c r="E65" s="16">
        <v>2</v>
      </c>
      <c r="F65" s="16">
        <v>1</v>
      </c>
      <c r="G65" s="16" t="s">
        <v>39</v>
      </c>
    </row>
    <row r="66" spans="1:7">
      <c r="A66" s="13" t="s">
        <v>38</v>
      </c>
      <c r="B66" s="10" t="s">
        <v>111</v>
      </c>
      <c r="C66" s="16" t="s">
        <v>5</v>
      </c>
      <c r="D66" s="16" t="s">
        <v>18</v>
      </c>
      <c r="G66" s="16" t="s">
        <v>39</v>
      </c>
    </row>
    <row r="67" spans="1:7">
      <c r="A67" s="13" t="s">
        <v>38</v>
      </c>
      <c r="B67" s="10" t="s">
        <v>112</v>
      </c>
      <c r="C67" s="16" t="s">
        <v>5</v>
      </c>
      <c r="D67" s="16" t="s">
        <v>18</v>
      </c>
      <c r="G67" s="16" t="s">
        <v>39</v>
      </c>
    </row>
    <row r="68" spans="1:7">
      <c r="A68" s="13" t="s">
        <v>38</v>
      </c>
      <c r="B68" s="10" t="s">
        <v>115</v>
      </c>
      <c r="C68" s="16" t="s">
        <v>5</v>
      </c>
      <c r="D68" s="16" t="s">
        <v>18</v>
      </c>
      <c r="G68" s="16" t="s">
        <v>39</v>
      </c>
    </row>
    <row r="69" spans="1:7">
      <c r="A69" s="13" t="s">
        <v>38</v>
      </c>
      <c r="B69" s="10" t="s">
        <v>113</v>
      </c>
      <c r="C69" s="16" t="s">
        <v>5</v>
      </c>
      <c r="D69" s="16" t="s">
        <v>18</v>
      </c>
      <c r="G69" s="16" t="s">
        <v>39</v>
      </c>
    </row>
    <row r="70" spans="1:7">
      <c r="A70" s="13" t="s">
        <v>38</v>
      </c>
      <c r="B70" s="10" t="s">
        <v>114</v>
      </c>
      <c r="C70" s="16" t="s">
        <v>5</v>
      </c>
      <c r="D70" s="16" t="s">
        <v>18</v>
      </c>
      <c r="G70" s="16" t="s">
        <v>39</v>
      </c>
    </row>
    <row r="71" spans="1:7">
      <c r="A71" s="13" t="s">
        <v>38</v>
      </c>
      <c r="B71" s="10" t="s">
        <v>116</v>
      </c>
      <c r="C71" s="16" t="s">
        <v>5</v>
      </c>
      <c r="D71" s="16" t="s">
        <v>18</v>
      </c>
      <c r="G71" s="16" t="s">
        <v>39</v>
      </c>
    </row>
  </sheetData>
  <autoFilter ref="B2:G63" xr:uid="{00000000-0001-0000-0000-000000000000}">
    <sortState xmlns:xlrd2="http://schemas.microsoft.com/office/spreadsheetml/2017/richdata2" ref="B3:G59">
      <sortCondition ref="B2:B59"/>
    </sortState>
  </autoFilter>
  <phoneticPr fontId="1"/>
  <dataValidations count="3">
    <dataValidation type="list" allowBlank="1" showInputMessage="1" showErrorMessage="1" sqref="C3:C71" xr:uid="{AF10AFEC-2E3A-4CB7-ABD8-6255C47E78C2}">
      <formula1>"S,A,B,C"</formula1>
    </dataValidation>
    <dataValidation type="list" allowBlank="1" showInputMessage="1" showErrorMessage="1" sqref="D3:D71" xr:uid="{8982FD40-CA4D-4B92-93FE-B37B6B67ACD6}">
      <formula1>"プロト,アルファ,ベータ,マスタ"</formula1>
    </dataValidation>
    <dataValidation type="list" allowBlank="1" showInputMessage="1" showErrorMessage="1" sqref="G3:G71" xr:uid="{E1CFE88F-4F87-4696-BE21-1133C2AEB8C1}">
      <formula1>"未着手,作業中,完了"</formula1>
    </dataValidation>
  </dataValidation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830D07-33E0-4A6A-A9E3-4F29F77EDCE6}">
  <dimension ref="C2:P37"/>
  <sheetViews>
    <sheetView topLeftCell="A6" zoomScale="115" zoomScaleNormal="115" workbookViewId="0">
      <selection activeCell="H15" sqref="H15"/>
    </sheetView>
  </sheetViews>
  <sheetFormatPr defaultRowHeight="18.75"/>
  <sheetData>
    <row r="2" spans="3:16">
      <c r="O2" t="s">
        <v>81</v>
      </c>
    </row>
    <row r="3" spans="3:16">
      <c r="C3" t="s">
        <v>76</v>
      </c>
    </row>
    <row r="4" spans="3:16">
      <c r="C4" s="11" t="s">
        <v>62</v>
      </c>
      <c r="D4" s="11" t="s">
        <v>63</v>
      </c>
      <c r="E4" s="11" t="s">
        <v>64</v>
      </c>
      <c r="F4" s="11" t="s">
        <v>65</v>
      </c>
      <c r="G4" s="11" t="s">
        <v>66</v>
      </c>
      <c r="H4" s="11" t="s">
        <v>67</v>
      </c>
      <c r="I4" s="11" t="s">
        <v>68</v>
      </c>
    </row>
    <row r="5" spans="3:16">
      <c r="C5" s="11"/>
      <c r="D5" s="11"/>
      <c r="E5" s="11"/>
      <c r="F5" s="11"/>
      <c r="G5" s="11"/>
      <c r="H5" s="11">
        <v>1</v>
      </c>
      <c r="I5" s="11">
        <v>2</v>
      </c>
      <c r="M5" t="s">
        <v>82</v>
      </c>
    </row>
    <row r="6" spans="3:16">
      <c r="C6" s="10">
        <v>3</v>
      </c>
      <c r="D6" s="10">
        <v>4</v>
      </c>
      <c r="E6" s="10">
        <v>5</v>
      </c>
      <c r="F6" s="10">
        <v>6</v>
      </c>
      <c r="G6" s="10">
        <v>7</v>
      </c>
      <c r="H6" s="10">
        <v>8</v>
      </c>
      <c r="I6" s="11">
        <v>9</v>
      </c>
      <c r="K6" t="s">
        <v>28</v>
      </c>
      <c r="L6" s="31"/>
      <c r="M6">
        <v>24</v>
      </c>
    </row>
    <row r="7" spans="3:16">
      <c r="C7" s="10">
        <v>10</v>
      </c>
      <c r="D7" s="10">
        <v>11</v>
      </c>
      <c r="E7" s="10">
        <v>12</v>
      </c>
      <c r="F7" s="10">
        <v>13</v>
      </c>
      <c r="G7" s="10">
        <v>14</v>
      </c>
      <c r="H7" s="10">
        <v>15</v>
      </c>
      <c r="I7" s="11">
        <v>16</v>
      </c>
      <c r="K7" t="s">
        <v>0</v>
      </c>
      <c r="L7" s="33"/>
      <c r="M7">
        <v>24</v>
      </c>
      <c r="P7">
        <v>74</v>
      </c>
    </row>
    <row r="8" spans="3:16">
      <c r="C8" s="10">
        <v>17</v>
      </c>
      <c r="D8" s="10">
        <v>18</v>
      </c>
      <c r="E8" s="10">
        <v>19</v>
      </c>
      <c r="F8" s="10">
        <v>20</v>
      </c>
      <c r="G8" s="10">
        <v>21</v>
      </c>
      <c r="H8" s="38">
        <v>22</v>
      </c>
      <c r="I8" s="11">
        <v>23</v>
      </c>
      <c r="K8" t="s">
        <v>29</v>
      </c>
      <c r="L8" s="37"/>
      <c r="M8">
        <v>24</v>
      </c>
    </row>
    <row r="9" spans="3:16">
      <c r="C9" s="10">
        <v>24</v>
      </c>
      <c r="D9" s="10">
        <v>25</v>
      </c>
      <c r="E9" s="10">
        <v>26</v>
      </c>
      <c r="F9" s="10">
        <v>27</v>
      </c>
      <c r="G9" s="10">
        <v>28</v>
      </c>
      <c r="H9" s="10">
        <v>29</v>
      </c>
      <c r="I9" s="11">
        <v>30</v>
      </c>
      <c r="K9" t="s">
        <v>80</v>
      </c>
      <c r="L9" s="34"/>
      <c r="M9">
        <v>7</v>
      </c>
    </row>
    <row r="10" spans="3:16">
      <c r="C10" s="11">
        <v>31</v>
      </c>
    </row>
    <row r="12" spans="3:16">
      <c r="C12" t="s">
        <v>77</v>
      </c>
    </row>
    <row r="13" spans="3:16">
      <c r="C13" s="11" t="s">
        <v>62</v>
      </c>
      <c r="D13" s="11" t="s">
        <v>63</v>
      </c>
      <c r="E13" s="11" t="s">
        <v>64</v>
      </c>
      <c r="F13" s="11" t="s">
        <v>65</v>
      </c>
      <c r="G13" s="11" t="s">
        <v>66</v>
      </c>
      <c r="H13" s="11" t="s">
        <v>67</v>
      </c>
      <c r="I13" s="11" t="s">
        <v>68</v>
      </c>
    </row>
    <row r="14" spans="3:16">
      <c r="C14" s="10"/>
      <c r="D14" s="10">
        <v>1</v>
      </c>
      <c r="E14" s="10">
        <v>2</v>
      </c>
      <c r="F14" s="10">
        <v>3</v>
      </c>
      <c r="G14" s="10">
        <v>4</v>
      </c>
      <c r="H14" s="10">
        <v>5</v>
      </c>
      <c r="I14" s="10">
        <v>6</v>
      </c>
    </row>
    <row r="15" spans="3:16">
      <c r="C15" s="10">
        <v>7</v>
      </c>
      <c r="D15" s="10">
        <v>8</v>
      </c>
      <c r="E15" s="10">
        <v>9</v>
      </c>
      <c r="F15" s="10">
        <v>10</v>
      </c>
      <c r="G15" s="30">
        <v>11</v>
      </c>
      <c r="H15" s="31">
        <v>12</v>
      </c>
      <c r="I15" s="31">
        <v>13</v>
      </c>
    </row>
    <row r="16" spans="3:16">
      <c r="C16" s="31">
        <v>14</v>
      </c>
      <c r="D16" s="31">
        <v>15</v>
      </c>
      <c r="E16" s="31">
        <v>16</v>
      </c>
      <c r="F16" s="31">
        <v>17</v>
      </c>
      <c r="G16" s="31">
        <v>18</v>
      </c>
      <c r="H16" s="31">
        <v>19</v>
      </c>
      <c r="I16" s="31">
        <v>20</v>
      </c>
    </row>
    <row r="17" spans="3:11">
      <c r="C17" s="31">
        <v>21</v>
      </c>
      <c r="D17" s="31">
        <v>22</v>
      </c>
      <c r="E17" s="31">
        <v>23</v>
      </c>
      <c r="F17" s="31">
        <v>24</v>
      </c>
      <c r="G17" s="31">
        <v>25</v>
      </c>
      <c r="H17" s="31">
        <v>26</v>
      </c>
      <c r="I17" s="31">
        <v>27</v>
      </c>
    </row>
    <row r="18" spans="3:11">
      <c r="C18" s="31">
        <v>28</v>
      </c>
      <c r="D18" s="31">
        <v>29</v>
      </c>
      <c r="E18" s="31">
        <v>30</v>
      </c>
      <c r="F18" s="10"/>
      <c r="G18" s="10"/>
      <c r="H18" s="10"/>
      <c r="I18" s="10"/>
      <c r="K18">
        <v>19</v>
      </c>
    </row>
    <row r="20" spans="3:11">
      <c r="C20" t="s">
        <v>78</v>
      </c>
    </row>
    <row r="21" spans="3:11">
      <c r="C21" s="11" t="s">
        <v>62</v>
      </c>
      <c r="D21" s="11" t="s">
        <v>63</v>
      </c>
      <c r="E21" s="11" t="s">
        <v>64</v>
      </c>
      <c r="F21" s="11" t="s">
        <v>65</v>
      </c>
      <c r="G21" s="11" t="s">
        <v>66</v>
      </c>
      <c r="H21" s="11" t="s">
        <v>67</v>
      </c>
      <c r="I21" s="11" t="s">
        <v>68</v>
      </c>
    </row>
    <row r="22" spans="3:11">
      <c r="C22" s="10"/>
      <c r="D22" s="10"/>
      <c r="E22" s="10"/>
      <c r="F22" s="31">
        <v>1</v>
      </c>
      <c r="G22" s="31">
        <v>2</v>
      </c>
      <c r="H22" s="31">
        <v>3</v>
      </c>
      <c r="I22" s="31">
        <v>4</v>
      </c>
    </row>
    <row r="23" spans="3:11">
      <c r="C23" s="31">
        <v>5</v>
      </c>
      <c r="D23" s="31">
        <v>6</v>
      </c>
      <c r="E23" s="19">
        <v>7</v>
      </c>
      <c r="F23" s="19">
        <v>8</v>
      </c>
      <c r="G23" s="19">
        <v>9</v>
      </c>
      <c r="H23" s="19">
        <v>10</v>
      </c>
      <c r="I23" s="19">
        <v>11</v>
      </c>
    </row>
    <row r="24" spans="3:11">
      <c r="C24" s="19">
        <v>12</v>
      </c>
      <c r="D24" s="19">
        <v>13</v>
      </c>
      <c r="E24" s="19">
        <v>14</v>
      </c>
      <c r="F24" s="19">
        <v>15</v>
      </c>
      <c r="G24" s="19">
        <v>16</v>
      </c>
      <c r="H24" s="19">
        <v>17</v>
      </c>
      <c r="I24" s="19">
        <v>18</v>
      </c>
    </row>
    <row r="25" spans="3:11">
      <c r="C25" s="19">
        <v>19</v>
      </c>
      <c r="D25" s="19">
        <v>20</v>
      </c>
      <c r="E25" s="19">
        <v>21</v>
      </c>
      <c r="F25" s="19">
        <v>22</v>
      </c>
      <c r="G25" s="19">
        <v>23</v>
      </c>
      <c r="H25" s="19">
        <v>24</v>
      </c>
      <c r="I25" s="19">
        <v>25</v>
      </c>
    </row>
    <row r="26" spans="3:11">
      <c r="C26" s="19">
        <v>26</v>
      </c>
      <c r="D26" s="19">
        <v>27</v>
      </c>
      <c r="E26" s="19">
        <v>28</v>
      </c>
      <c r="F26" s="19">
        <v>29</v>
      </c>
      <c r="G26" s="19">
        <v>30</v>
      </c>
      <c r="H26" s="19">
        <v>31</v>
      </c>
      <c r="I26" s="11"/>
      <c r="K26">
        <v>31</v>
      </c>
    </row>
    <row r="30" spans="3:11">
      <c r="C30" t="s">
        <v>79</v>
      </c>
    </row>
    <row r="31" spans="3:11">
      <c r="C31" s="11" t="s">
        <v>62</v>
      </c>
      <c r="D31" s="11" t="s">
        <v>63</v>
      </c>
      <c r="E31" s="11" t="s">
        <v>64</v>
      </c>
      <c r="F31" s="11" t="s">
        <v>65</v>
      </c>
      <c r="G31" s="11" t="s">
        <v>66</v>
      </c>
      <c r="H31" s="11" t="s">
        <v>67</v>
      </c>
      <c r="I31" s="11" t="s">
        <v>68</v>
      </c>
    </row>
    <row r="32" spans="3:11">
      <c r="C32" s="10"/>
      <c r="D32" s="10"/>
      <c r="E32" s="10"/>
      <c r="F32" s="10"/>
      <c r="G32" s="10"/>
      <c r="H32" s="10"/>
      <c r="I32" s="19">
        <v>1</v>
      </c>
      <c r="K32">
        <v>31</v>
      </c>
    </row>
    <row r="33" spans="3:9">
      <c r="C33" s="19">
        <v>2</v>
      </c>
      <c r="D33" s="37">
        <v>3</v>
      </c>
      <c r="E33" s="37">
        <v>4</v>
      </c>
      <c r="F33" s="37">
        <v>5</v>
      </c>
      <c r="G33" s="37">
        <v>6</v>
      </c>
      <c r="H33" s="37">
        <v>7</v>
      </c>
      <c r="I33" s="37">
        <v>8</v>
      </c>
    </row>
    <row r="34" spans="3:9">
      <c r="C34" s="37">
        <v>9</v>
      </c>
      <c r="D34" s="37">
        <v>10</v>
      </c>
      <c r="E34" s="37">
        <v>11</v>
      </c>
      <c r="F34" s="37">
        <v>12</v>
      </c>
      <c r="G34" s="37">
        <v>13</v>
      </c>
      <c r="H34" s="37">
        <v>14</v>
      </c>
      <c r="I34" s="37">
        <v>15</v>
      </c>
    </row>
    <row r="35" spans="3:9">
      <c r="C35" s="37">
        <v>16</v>
      </c>
      <c r="D35" s="37">
        <v>17</v>
      </c>
      <c r="E35" s="37">
        <v>18</v>
      </c>
      <c r="F35" s="37">
        <v>19</v>
      </c>
      <c r="G35" s="37">
        <v>20</v>
      </c>
      <c r="H35" s="37">
        <v>21</v>
      </c>
      <c r="I35" s="37">
        <v>22</v>
      </c>
    </row>
    <row r="36" spans="3:9">
      <c r="C36" s="37">
        <v>23</v>
      </c>
      <c r="D36" s="37">
        <v>24</v>
      </c>
      <c r="E36" s="37">
        <v>25</v>
      </c>
      <c r="F36" s="37">
        <v>26</v>
      </c>
      <c r="G36" s="37">
        <v>27</v>
      </c>
      <c r="H36" s="34">
        <v>28</v>
      </c>
      <c r="I36" s="34">
        <v>29</v>
      </c>
    </row>
    <row r="37" spans="3:9">
      <c r="C37" s="34">
        <v>30</v>
      </c>
      <c r="D37" s="34">
        <v>31</v>
      </c>
      <c r="E37" s="36">
        <v>1</v>
      </c>
      <c r="F37" s="36">
        <v>2</v>
      </c>
      <c r="G37" s="36">
        <v>3</v>
      </c>
      <c r="H37" s="35">
        <v>4</v>
      </c>
      <c r="I37" s="32"/>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5F4C71-EC53-4AC7-B05F-AE75E87F0C1C}">
  <dimension ref="A1:C13"/>
  <sheetViews>
    <sheetView tabSelected="1" workbookViewId="0">
      <selection activeCell="C14" sqref="C14"/>
    </sheetView>
  </sheetViews>
  <sheetFormatPr defaultRowHeight="18.75"/>
  <cols>
    <col min="1" max="1" width="8.25" bestFit="1" customWidth="1"/>
    <col min="2" max="2" width="6.25" bestFit="1" customWidth="1"/>
    <col min="3" max="3" width="127.25" bestFit="1" customWidth="1"/>
  </cols>
  <sheetData>
    <row r="1" spans="1:3">
      <c r="A1" t="s">
        <v>119</v>
      </c>
      <c r="B1" t="s">
        <v>120</v>
      </c>
      <c r="C1" t="s">
        <v>121</v>
      </c>
    </row>
    <row r="2" spans="1:3">
      <c r="A2" s="1">
        <v>46166</v>
      </c>
      <c r="B2" t="s">
        <v>122</v>
      </c>
      <c r="C2" t="s">
        <v>123</v>
      </c>
    </row>
    <row r="3" spans="1:3">
      <c r="A3" s="1">
        <v>46167</v>
      </c>
      <c r="B3" t="s">
        <v>124</v>
      </c>
      <c r="C3" t="s">
        <v>125</v>
      </c>
    </row>
    <row r="4" spans="1:3">
      <c r="A4" s="1"/>
      <c r="C4" t="s">
        <v>144</v>
      </c>
    </row>
    <row r="5" spans="1:3">
      <c r="C5" t="s">
        <v>145</v>
      </c>
    </row>
    <row r="7" spans="1:3">
      <c r="A7" s="1">
        <v>46190</v>
      </c>
      <c r="C7" t="s">
        <v>274</v>
      </c>
    </row>
    <row r="8" spans="1:3">
      <c r="A8" s="1">
        <v>46191</v>
      </c>
      <c r="C8" t="s">
        <v>275</v>
      </c>
    </row>
    <row r="9" spans="1:3">
      <c r="A9" s="1">
        <v>46192</v>
      </c>
      <c r="C9" t="s">
        <v>276</v>
      </c>
    </row>
    <row r="10" spans="1:3">
      <c r="C10" t="s">
        <v>277</v>
      </c>
    </row>
    <row r="11" spans="1:3">
      <c r="C11" t="s">
        <v>278</v>
      </c>
    </row>
    <row r="12" spans="1:3">
      <c r="A12" s="1">
        <v>46193</v>
      </c>
      <c r="C12" t="s">
        <v>279</v>
      </c>
    </row>
    <row r="13" spans="1:3">
      <c r="C13" t="s">
        <v>280</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696AB-2B42-42A5-B99F-E70A812D4095}">
  <dimension ref="B2:D20"/>
  <sheetViews>
    <sheetView topLeftCell="A4" workbookViewId="0">
      <selection activeCell="B19" sqref="B19"/>
    </sheetView>
  </sheetViews>
  <sheetFormatPr defaultRowHeight="18.75"/>
  <cols>
    <col min="2" max="2" width="42.75" bestFit="1" customWidth="1"/>
    <col min="3" max="3" width="25.375" bestFit="1" customWidth="1"/>
    <col min="4" max="4" width="15.125" bestFit="1" customWidth="1"/>
    <col min="5" max="5" width="15" bestFit="1" customWidth="1"/>
  </cols>
  <sheetData>
    <row r="2" spans="2:4">
      <c r="B2" t="s">
        <v>118</v>
      </c>
      <c r="C2" t="s">
        <v>127</v>
      </c>
      <c r="D2" t="s">
        <v>128</v>
      </c>
    </row>
    <row r="3" spans="2:4">
      <c r="D3" t="s">
        <v>129</v>
      </c>
    </row>
    <row r="4" spans="2:4">
      <c r="B4" t="s">
        <v>126</v>
      </c>
      <c r="D4" t="s">
        <v>130</v>
      </c>
    </row>
    <row r="7" spans="2:4">
      <c r="B7" t="s">
        <v>131</v>
      </c>
    </row>
    <row r="9" spans="2:4">
      <c r="B9" t="s">
        <v>139</v>
      </c>
    </row>
    <row r="10" spans="2:4">
      <c r="B10" t="s">
        <v>140</v>
      </c>
      <c r="D10" t="s">
        <v>184</v>
      </c>
    </row>
    <row r="11" spans="2:4">
      <c r="B11" t="s">
        <v>141</v>
      </c>
      <c r="D11" t="s">
        <v>185</v>
      </c>
    </row>
    <row r="12" spans="2:4">
      <c r="D12" t="s">
        <v>186</v>
      </c>
    </row>
    <row r="13" spans="2:4">
      <c r="B13" t="s">
        <v>142</v>
      </c>
      <c r="D13" t="s">
        <v>187</v>
      </c>
    </row>
    <row r="14" spans="2:4">
      <c r="B14" t="s">
        <v>143</v>
      </c>
      <c r="D14" t="s">
        <v>188</v>
      </c>
    </row>
    <row r="15" spans="2:4">
      <c r="D15" t="s">
        <v>189</v>
      </c>
    </row>
    <row r="17" spans="2:4">
      <c r="B17" t="s">
        <v>183</v>
      </c>
      <c r="D17" t="s">
        <v>199</v>
      </c>
    </row>
    <row r="18" spans="2:4">
      <c r="B18" t="s">
        <v>261</v>
      </c>
    </row>
    <row r="19" spans="2:4">
      <c r="B19" t="s">
        <v>262</v>
      </c>
    </row>
    <row r="20" spans="2:4">
      <c r="B20" t="s">
        <v>190</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98AC8-7610-4AC5-B6A1-107905495902}">
  <dimension ref="A1:G22"/>
  <sheetViews>
    <sheetView workbookViewId="0">
      <selection activeCell="F23" sqref="F23"/>
    </sheetView>
  </sheetViews>
  <sheetFormatPr defaultRowHeight="18.75"/>
  <sheetData>
    <row r="1" spans="1:7">
      <c r="A1" s="42"/>
      <c r="B1" s="43"/>
      <c r="C1" s="43"/>
      <c r="D1" s="43"/>
      <c r="E1" s="43"/>
      <c r="F1" s="43"/>
      <c r="G1" s="44"/>
    </row>
    <row r="2" spans="1:7">
      <c r="A2" s="45"/>
      <c r="G2" s="46"/>
    </row>
    <row r="3" spans="1:7">
      <c r="A3" s="45"/>
      <c r="C3" t="s">
        <v>239</v>
      </c>
      <c r="G3" s="46"/>
    </row>
    <row r="4" spans="1:7">
      <c r="A4" s="45"/>
      <c r="C4" t="s">
        <v>91</v>
      </c>
      <c r="G4" s="46"/>
    </row>
    <row r="5" spans="1:7">
      <c r="A5" s="45"/>
      <c r="C5" t="s">
        <v>240</v>
      </c>
      <c r="G5" s="46"/>
    </row>
    <row r="6" spans="1:7">
      <c r="A6" s="45"/>
      <c r="C6" t="s">
        <v>242</v>
      </c>
      <c r="G6" s="46"/>
    </row>
    <row r="7" spans="1:7">
      <c r="A7" s="45"/>
      <c r="C7" t="s">
        <v>248</v>
      </c>
      <c r="G7" s="46"/>
    </row>
    <row r="8" spans="1:7">
      <c r="A8" s="45"/>
      <c r="G8" s="46"/>
    </row>
    <row r="9" spans="1:7">
      <c r="A9" s="45"/>
      <c r="B9" t="s">
        <v>241</v>
      </c>
      <c r="D9" t="s">
        <v>243</v>
      </c>
      <c r="F9" t="s">
        <v>246</v>
      </c>
      <c r="G9" s="46"/>
    </row>
    <row r="10" spans="1:7">
      <c r="A10" s="45"/>
      <c r="B10" t="s">
        <v>91</v>
      </c>
      <c r="D10" t="s">
        <v>244</v>
      </c>
      <c r="F10" t="s">
        <v>247</v>
      </c>
      <c r="G10" s="46"/>
    </row>
    <row r="11" spans="1:7">
      <c r="A11" s="45"/>
      <c r="B11" t="s">
        <v>240</v>
      </c>
      <c r="D11" t="s">
        <v>245</v>
      </c>
      <c r="F11" t="s">
        <v>85</v>
      </c>
      <c r="G11" s="46"/>
    </row>
    <row r="12" spans="1:7">
      <c r="A12" s="45"/>
      <c r="B12" t="s">
        <v>242</v>
      </c>
      <c r="D12" t="s">
        <v>242</v>
      </c>
      <c r="F12" t="s">
        <v>242</v>
      </c>
      <c r="G12" s="46"/>
    </row>
    <row r="13" spans="1:7">
      <c r="A13" s="45"/>
      <c r="B13" t="s">
        <v>248</v>
      </c>
      <c r="D13" t="s">
        <v>240</v>
      </c>
      <c r="F13" t="s">
        <v>240</v>
      </c>
      <c r="G13" s="46"/>
    </row>
    <row r="14" spans="1:7" ht="19.5" thickBot="1">
      <c r="A14" s="47"/>
      <c r="B14" s="48"/>
      <c r="C14" s="48"/>
      <c r="D14" s="48" t="s">
        <v>248</v>
      </c>
      <c r="E14" s="48"/>
      <c r="F14" s="48" t="s">
        <v>248</v>
      </c>
      <c r="G14" s="49"/>
    </row>
    <row r="17" spans="2:6">
      <c r="B17" t="s">
        <v>249</v>
      </c>
      <c r="D17" t="s">
        <v>252</v>
      </c>
    </row>
    <row r="18" spans="2:6">
      <c r="B18" t="s">
        <v>102</v>
      </c>
      <c r="D18" t="s">
        <v>251</v>
      </c>
    </row>
    <row r="19" spans="2:6">
      <c r="B19" t="s">
        <v>91</v>
      </c>
      <c r="D19" t="s">
        <v>253</v>
      </c>
    </row>
    <row r="20" spans="2:6">
      <c r="B20" t="s">
        <v>250</v>
      </c>
      <c r="D20" t="s">
        <v>254</v>
      </c>
    </row>
    <row r="21" spans="2:6">
      <c r="B21" t="s">
        <v>146</v>
      </c>
    </row>
    <row r="22" spans="2:6">
      <c r="D22" t="s">
        <v>255</v>
      </c>
      <c r="F22" t="s">
        <v>256</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B08E-4005-4196-B3E0-F413A5A01C4A}">
  <dimension ref="A1:AK43"/>
  <sheetViews>
    <sheetView topLeftCell="A13" workbookViewId="0">
      <selection activeCell="AK26" sqref="AK26"/>
    </sheetView>
  </sheetViews>
  <sheetFormatPr defaultColWidth="4" defaultRowHeight="18.75"/>
  <sheetData>
    <row r="1" spans="1:33">
      <c r="M1" t="s">
        <v>150</v>
      </c>
      <c r="T1" t="s">
        <v>164</v>
      </c>
      <c r="AE1" t="s">
        <v>177</v>
      </c>
    </row>
    <row r="2" spans="1:33">
      <c r="B2" s="41" t="s">
        <v>206</v>
      </c>
      <c r="C2" s="41"/>
      <c r="D2" s="41"/>
      <c r="E2" s="41"/>
      <c r="M2" t="s">
        <v>151</v>
      </c>
      <c r="AE2" t="s">
        <v>192</v>
      </c>
    </row>
    <row r="3" spans="1:33">
      <c r="B3" t="s">
        <v>146</v>
      </c>
      <c r="M3" t="s">
        <v>152</v>
      </c>
      <c r="R3" t="s">
        <v>198</v>
      </c>
      <c r="AE3" t="s">
        <v>178</v>
      </c>
      <c r="AG3" t="s">
        <v>193</v>
      </c>
    </row>
    <row r="4" spans="1:33">
      <c r="B4" t="s">
        <v>147</v>
      </c>
      <c r="M4" t="s">
        <v>191</v>
      </c>
      <c r="AE4" t="s">
        <v>179</v>
      </c>
    </row>
    <row r="5" spans="1:33">
      <c r="B5" t="s">
        <v>91</v>
      </c>
      <c r="M5" t="s">
        <v>153</v>
      </c>
      <c r="AE5" t="s">
        <v>180</v>
      </c>
    </row>
    <row r="6" spans="1:33">
      <c r="B6" t="s">
        <v>148</v>
      </c>
      <c r="M6" t="s">
        <v>154</v>
      </c>
      <c r="AE6" t="s">
        <v>181</v>
      </c>
    </row>
    <row r="7" spans="1:33">
      <c r="B7" t="s">
        <v>149</v>
      </c>
      <c r="M7" t="s">
        <v>155</v>
      </c>
      <c r="R7" t="s">
        <v>163</v>
      </c>
      <c r="AE7" t="s">
        <v>182</v>
      </c>
    </row>
    <row r="8" spans="1:33">
      <c r="B8" t="s">
        <v>97</v>
      </c>
      <c r="M8" t="s">
        <v>99</v>
      </c>
    </row>
    <row r="10" spans="1:33">
      <c r="AE10" t="s">
        <v>196</v>
      </c>
    </row>
    <row r="11" spans="1:33">
      <c r="M11" t="s">
        <v>169</v>
      </c>
    </row>
    <row r="12" spans="1:33">
      <c r="M12" t="s">
        <v>170</v>
      </c>
      <c r="AE12" t="s">
        <v>195</v>
      </c>
    </row>
    <row r="13" spans="1:33">
      <c r="B13" t="s">
        <v>49</v>
      </c>
      <c r="M13" t="s">
        <v>175</v>
      </c>
    </row>
    <row r="14" spans="1:33">
      <c r="A14" t="s">
        <v>157</v>
      </c>
      <c r="B14" t="s">
        <v>156</v>
      </c>
      <c r="D14" t="s">
        <v>158</v>
      </c>
    </row>
    <row r="15" spans="1:33">
      <c r="D15" t="s">
        <v>194</v>
      </c>
      <c r="M15" t="s">
        <v>171</v>
      </c>
    </row>
    <row r="16" spans="1:33">
      <c r="M16" t="s">
        <v>172</v>
      </c>
      <c r="AF16" s="40" t="s">
        <v>200</v>
      </c>
      <c r="AG16" s="40"/>
    </row>
    <row r="17" spans="1:37">
      <c r="B17" t="s">
        <v>159</v>
      </c>
      <c r="F17" t="s">
        <v>160</v>
      </c>
      <c r="M17" t="s">
        <v>176</v>
      </c>
      <c r="AF17" t="s">
        <v>201</v>
      </c>
      <c r="AK17" t="s">
        <v>203</v>
      </c>
    </row>
    <row r="18" spans="1:37">
      <c r="M18" t="s">
        <v>173</v>
      </c>
      <c r="AF18" t="s">
        <v>202</v>
      </c>
    </row>
    <row r="19" spans="1:37">
      <c r="B19" t="s">
        <v>162</v>
      </c>
      <c r="D19" t="s">
        <v>160</v>
      </c>
      <c r="M19" t="s">
        <v>174</v>
      </c>
      <c r="AF19" t="s">
        <v>204</v>
      </c>
    </row>
    <row r="20" spans="1:37">
      <c r="AF20" t="s">
        <v>193</v>
      </c>
    </row>
    <row r="21" spans="1:37">
      <c r="B21" t="s">
        <v>161</v>
      </c>
      <c r="D21" t="s">
        <v>160</v>
      </c>
    </row>
    <row r="22" spans="1:37">
      <c r="M22" t="s">
        <v>197</v>
      </c>
    </row>
    <row r="24" spans="1:37">
      <c r="D24" t="s">
        <v>269</v>
      </c>
    </row>
    <row r="28" spans="1:37">
      <c r="A28" t="s">
        <v>270</v>
      </c>
    </row>
    <row r="38" spans="1:15">
      <c r="A38" t="s">
        <v>177</v>
      </c>
    </row>
    <row r="41" spans="1:15">
      <c r="A41" t="s">
        <v>272</v>
      </c>
    </row>
    <row r="42" spans="1:15">
      <c r="A42" t="s">
        <v>273</v>
      </c>
    </row>
    <row r="43" spans="1:15">
      <c r="O43" t="s">
        <v>271</v>
      </c>
    </row>
  </sheetData>
  <phoneticPr fontId="1"/>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F96B1-EBF5-4BB2-93CD-A0906537FC8C}">
  <dimension ref="C2:X16"/>
  <sheetViews>
    <sheetView workbookViewId="0">
      <selection activeCell="S20" sqref="S20"/>
    </sheetView>
  </sheetViews>
  <sheetFormatPr defaultColWidth="3.875" defaultRowHeight="18.75"/>
  <cols>
    <col min="25" max="25" width="3.625" customWidth="1"/>
  </cols>
  <sheetData>
    <row r="2" spans="3:24">
      <c r="C2" s="41" t="s">
        <v>205</v>
      </c>
      <c r="D2" s="41"/>
      <c r="E2" s="41"/>
      <c r="Q2" t="s">
        <v>207</v>
      </c>
    </row>
    <row r="4" spans="3:24">
      <c r="C4" t="s">
        <v>225</v>
      </c>
      <c r="Q4" t="s">
        <v>223</v>
      </c>
    </row>
    <row r="5" spans="3:24">
      <c r="C5" t="s">
        <v>224</v>
      </c>
      <c r="I5" t="s">
        <v>236</v>
      </c>
      <c r="Q5" t="s">
        <v>234</v>
      </c>
    </row>
    <row r="6" spans="3:24">
      <c r="C6" t="s">
        <v>235</v>
      </c>
      <c r="I6" t="s">
        <v>237</v>
      </c>
      <c r="Q6" t="s">
        <v>208</v>
      </c>
      <c r="S6" t="s">
        <v>209</v>
      </c>
    </row>
    <row r="7" spans="3:24">
      <c r="Q7" t="s">
        <v>210</v>
      </c>
    </row>
    <row r="8" spans="3:24">
      <c r="C8" t="s">
        <v>227</v>
      </c>
      <c r="Q8" t="s">
        <v>211</v>
      </c>
    </row>
    <row r="9" spans="3:24">
      <c r="C9" t="s">
        <v>231</v>
      </c>
      <c r="I9" t="s">
        <v>237</v>
      </c>
      <c r="Q9" t="s">
        <v>229</v>
      </c>
      <c r="X9" t="s">
        <v>230</v>
      </c>
    </row>
    <row r="10" spans="3:24">
      <c r="C10" t="s">
        <v>226</v>
      </c>
      <c r="Q10" t="s">
        <v>212</v>
      </c>
    </row>
    <row r="11" spans="3:24">
      <c r="C11" t="s">
        <v>228</v>
      </c>
      <c r="I11" t="s">
        <v>236</v>
      </c>
      <c r="Q11" t="s">
        <v>213</v>
      </c>
    </row>
    <row r="12" spans="3:24">
      <c r="Q12" t="s">
        <v>214</v>
      </c>
    </row>
    <row r="13" spans="3:24">
      <c r="C13" t="s">
        <v>232</v>
      </c>
      <c r="Q13" t="s">
        <v>215</v>
      </c>
      <c r="S13" t="s">
        <v>216</v>
      </c>
    </row>
    <row r="14" spans="3:24">
      <c r="C14" t="s">
        <v>233</v>
      </c>
      <c r="I14" t="s">
        <v>238</v>
      </c>
      <c r="Q14" t="s">
        <v>217</v>
      </c>
      <c r="S14" t="s">
        <v>218</v>
      </c>
    </row>
    <row r="15" spans="3:24">
      <c r="Q15" t="s">
        <v>219</v>
      </c>
      <c r="R15" t="s">
        <v>220</v>
      </c>
    </row>
    <row r="16" spans="3:24">
      <c r="Q16" t="s">
        <v>221</v>
      </c>
      <c r="S16" t="s">
        <v>222</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B1947F-A3A0-4027-965D-A484FB7F3C32}">
  <dimension ref="C1:AU33"/>
  <sheetViews>
    <sheetView zoomScale="70" zoomScaleNormal="70" workbookViewId="0">
      <selection activeCell="AA4" sqref="AA4"/>
    </sheetView>
  </sheetViews>
  <sheetFormatPr defaultColWidth="4.125" defaultRowHeight="18.75"/>
  <sheetData>
    <row r="1" spans="3:35" ht="19.5" thickBot="1"/>
    <row r="2" spans="3:35">
      <c r="C2" t="s">
        <v>168</v>
      </c>
      <c r="AE2" s="42" t="s">
        <v>258</v>
      </c>
      <c r="AF2" s="43"/>
      <c r="AG2" s="43"/>
      <c r="AH2" s="43"/>
      <c r="AI2" s="44"/>
    </row>
    <row r="3" spans="3:35">
      <c r="AE3" s="45" t="s">
        <v>259</v>
      </c>
      <c r="AI3" s="46"/>
    </row>
    <row r="4" spans="3:35">
      <c r="AE4" s="45" t="s">
        <v>260</v>
      </c>
      <c r="AI4" s="46"/>
    </row>
    <row r="5" spans="3:35" ht="19.5" thickBot="1">
      <c r="AE5" s="47" t="s">
        <v>265</v>
      </c>
      <c r="AF5" s="48"/>
      <c r="AG5" s="48"/>
      <c r="AH5" s="48"/>
      <c r="AI5" s="49"/>
    </row>
    <row r="9" spans="3:35">
      <c r="AE9" t="s">
        <v>257</v>
      </c>
    </row>
    <row r="31" spans="34:47">
      <c r="AN31" t="s">
        <v>263</v>
      </c>
      <c r="AU31" t="s">
        <v>268</v>
      </c>
    </row>
    <row r="32" spans="34:47">
      <c r="AH32" t="s">
        <v>267</v>
      </c>
      <c r="AN32" t="s">
        <v>264</v>
      </c>
    </row>
    <row r="33" spans="40:40">
      <c r="AN33" t="s">
        <v>266</v>
      </c>
    </row>
  </sheetData>
  <phoneticPr fontId="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914457C4DEF6B04C80335F04D9CFE9B8" ma:contentTypeVersion="15" ma:contentTypeDescription="新しいドキュメントを作成します。" ma:contentTypeScope="" ma:versionID="384833ccc4364158daff1dfa93252050">
  <xsd:schema xmlns:xsd="http://www.w3.org/2001/XMLSchema" xmlns:xs="http://www.w3.org/2001/XMLSchema" xmlns:p="http://schemas.microsoft.com/office/2006/metadata/properties" xmlns:ns2="42b7366e-3919-4bb8-9917-4115af4f71f0" xmlns:ns3="3fed6739-56b2-4f96-bdeb-921328dde709" targetNamespace="http://schemas.microsoft.com/office/2006/metadata/properties" ma:root="true" ma:fieldsID="8d3663068ba8e99c0b99c921911a4360" ns2:_="" ns3:_="">
    <xsd:import namespace="42b7366e-3919-4bb8-9917-4115af4f71f0"/>
    <xsd:import namespace="3fed6739-56b2-4f96-bdeb-921328dde7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ObjectDetectorVersions" minOccurs="0"/>
                <xsd:element ref="ns2:MediaServiceSearchProperties" minOccurs="0"/>
                <xsd:element ref="ns2:MediaLengthInSeconds" minOccurs="0"/>
                <xsd:element ref="ns2:MediaServiceDateTaken"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2b7366e-3919-4bb8-9917-4115af4f71f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画像タグ" ma:readOnly="false" ma:fieldId="{5cf76f15-5ced-4ddc-b409-7134ff3c332f}" ma:taxonomyMulti="true" ma:sspId="c7b788f1-635f-435b-a825-11a9aec0b64e"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element name="MediaServiceDateTaken" ma:index="21" nillable="true" ma:displayName="MediaServiceDateTaken" ma:hidden="true" ma:indexed="true" ma:internalName="MediaServiceDateTaken"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fed6739-56b2-4f96-bdeb-921328dde709" elementFormDefault="qualified">
    <xsd:import namespace="http://schemas.microsoft.com/office/2006/documentManagement/types"/>
    <xsd:import namespace="http://schemas.microsoft.com/office/infopath/2007/PartnerControls"/>
    <xsd:element name="SharedWithUsers" ma:index="10"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共有相手の詳細情報" ma:internalName="SharedWithDetails" ma:readOnly="true">
      <xsd:simpleType>
        <xsd:restriction base="dms:Note">
          <xsd:maxLength value="255"/>
        </xsd:restriction>
      </xsd:simpleType>
    </xsd:element>
    <xsd:element name="TaxCatchAll" ma:index="14" nillable="true" ma:displayName="Taxonomy Catch All Column" ma:hidden="true" ma:list="{233731c5-1d9c-498f-8754-23ebfc73d042}" ma:internalName="TaxCatchAll" ma:showField="CatchAllData" ma:web="3fed6739-56b2-4f96-bdeb-921328dde70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3fed6739-56b2-4f96-bdeb-921328dde709" xsi:nil="true"/>
    <lcf76f155ced4ddcb4097134ff3c332f xmlns="42b7366e-3919-4bb8-9917-4115af4f71f0">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1B0A0972-5393-459A-8603-138D87B701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2b7366e-3919-4bb8-9917-4115af4f71f0"/>
    <ds:schemaRef ds:uri="3fed6739-56b2-4f96-bdeb-921328dde7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3BF17534-2B47-4857-AC25-7C99424F8AA0}">
  <ds:schemaRefs>
    <ds:schemaRef ds:uri="http://schemas.microsoft.com/sharepoint/v3/contenttype/forms"/>
  </ds:schemaRefs>
</ds:datastoreItem>
</file>

<file path=customXml/itemProps3.xml><?xml version="1.0" encoding="utf-8"?>
<ds:datastoreItem xmlns:ds="http://schemas.openxmlformats.org/officeDocument/2006/customXml" ds:itemID="{E02E9DAB-F6A4-45C4-BAF5-BF43C147BB10}">
  <ds:schemaRefs>
    <ds:schemaRef ds:uri="http://schemas.microsoft.com/office/2006/metadata/properties"/>
    <ds:schemaRef ds:uri="http://schemas.microsoft.com/office/infopath/2007/PartnerControls"/>
    <ds:schemaRef ds:uri="3fed6739-56b2-4f96-bdeb-921328dde709"/>
    <ds:schemaRef ds:uri="42b7366e-3919-4bb8-9917-4115af4f71f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概要</vt:lpstr>
      <vt:lpstr>作業工数見積もり</vt:lpstr>
      <vt:lpstr>カレンダー</vt:lpstr>
      <vt:lpstr>日記</vt:lpstr>
      <vt:lpstr>メモ</vt:lpstr>
      <vt:lpstr>雑用</vt:lpstr>
      <vt:lpstr>仕様書①</vt:lpstr>
      <vt:lpstr>仕様書②</vt:lpstr>
      <vt:lpstr>クラス設計</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teacherM</dc:creator>
  <cp:keywords/>
  <dc:description/>
  <cp:lastModifiedBy>平尾　泰稀</cp:lastModifiedBy>
  <cp:revision/>
  <dcterms:created xsi:type="dcterms:W3CDTF">2015-06-05T18:19:34Z</dcterms:created>
  <dcterms:modified xsi:type="dcterms:W3CDTF">2026-06-20T17:23:23Z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0x010100914457C4DEF6B04C80335F04D9CFE9B8</vt:lpwstr>
  </property>
  <property fmtid="{D5CDD505-2E9C-101B-9397-08002B2CF9AE}" pid="3" name="MediaServiceImageTags">
    <vt:lpwstr/>
  </property>
</Properties>
</file>