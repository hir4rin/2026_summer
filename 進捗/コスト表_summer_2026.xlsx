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9C31603A-2993-4050-8687-09783C848137}" xr6:coauthVersionLast="47" xr6:coauthVersionMax="47" xr10:uidLastSave="{00000000-0000-0000-0000-000000000000}"/>
  <bookViews>
    <workbookView xWindow="6525" yWindow="2055" windowWidth="20625" windowHeight="15585" firstSheet="2" activeTab="10" xr2:uid="{00000000-000D-0000-FFFF-FFFF00000000}"/>
  </bookViews>
  <sheets>
    <sheet name="概要" sheetId="5" r:id="rId1"/>
    <sheet name="作業工数見積もり" sheetId="1" r:id="rId2"/>
    <sheet name="カレンダー" sheetId="6" r:id="rId3"/>
    <sheet name="日記" sheetId="12" r:id="rId4"/>
    <sheet name="Sheet1" sheetId="16" r:id="rId5"/>
    <sheet name="メモ" sheetId="9" r:id="rId6"/>
    <sheet name="雑用" sheetId="10" r:id="rId7"/>
    <sheet name="仕様書①" sheetId="13" r:id="rId8"/>
    <sheet name="仕様書②" sheetId="15" r:id="rId9"/>
    <sheet name="クラス設計" sheetId="14" r:id="rId10"/>
    <sheet name="Sheet2" sheetId="17" r:id="rId11"/>
  </sheets>
  <definedNames>
    <definedName name="_xlnm._FilterDatabase" localSheetId="1" hidden="1">作業工数見積もり!$B$2:$G$57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<sst xmlns="http://schemas.openxmlformats.org/spreadsheetml/2006/main" count="821" uniqueCount="563">
  <si>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</si>
  <si>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</si>
  <si>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</si>
  <si>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</si>
  <si>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</si>
  <si>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</si>
  <si>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</si>
  <si>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</si>
  <si>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</si>
  <si>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</si>
  <si>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</si>
  <si>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</si>
  <si>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</si>
  <si>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</si>
  <si>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</si>
  <si>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</si>
  <si>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</si>
  <si>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</si>
  <si>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</si>
  <si>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</si>
  <si>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</si>
  <si>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</si>
  <si>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</si>
  <si>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</si>
  <si>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</si>
  <si>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</si>
  <si>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</si>
  <si>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</si>
  <si>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</si>
  <si>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</si>
  <si>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</si>
  <si>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</si>
  <si>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</si>
  <si>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</si>
  <si>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</si>
  <si>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</si>
  <si>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</si>
  <si>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</si>
  <si>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</si>
  <si>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</si>
  <si>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</si>
  <si>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</si>
  <si>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</si>
  <si>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</si>
  <si>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</si>
  <si>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</si>
  <si>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</si>
  <si>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</si>
  <si>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</si>
  <si>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</si>
  <si>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</si>
  <si>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</si>
  <si>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</si>
  <si>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</si>
  <si>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</si>
  <si>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</si>
  <si>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</si>
  <si>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</si>
  <si>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</si>
  <si>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</si>
  <si>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</si>
  <si>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</si>
  <si>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</si>
  <si>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</si>
  <si>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</si>
  <si>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</si>
  <si>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</si>
  <si>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</si>
  <si>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</si>
  <si>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</si>
  <si>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</si>
  <si>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</si>
  <si>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</si>
  <si>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</si>
  <si>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</si>
  <si>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</si>
  <si>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</si>
  <si>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</si>
  <si>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</si>
  <si>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</si>
  <si>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</si>
  <si>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</si>
  <si>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</si>
  <si>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</si>
  <si>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</si>
  <si>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</si>
  <si>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</si>
  <si>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</si>
  <si>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</si>
  <si>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</si>
  <si>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</si>
  <si>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</si>
  <si>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</si>
  <si>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</si>
  <si>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</si>
  <si>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</si>
  <si>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</si>
  <si>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</si>
  <si>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</si>
  <si>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</si>
  <si>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</si>
  <si>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</si>
  <si>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</si>
  <si>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</si>
  <si>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</si>
  <si>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</si>
  <si>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</si>
  <si>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</si>
  <si>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</si>
  <si>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</si>
  <si>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</si>
  <si>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</si>
  <si>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</si>
  <si>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</si>
  <si>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</si>
  <si>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</si>
  <si>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</si>
  <si>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</si>
  <si>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</si>
  <si>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</si>
  <si>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</si>
  <si>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</si>
  <si>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</si>
  <si>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</si>
  <si>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</si>
  <si>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</si>
  <si>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</si>
  <si>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</si>
  <si>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</si>
  <si>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</si>
  <si>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</si>
  <si>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</si>
  <si>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</si>
  <si>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</si>
  <si>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</si>
  <si>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</si>
  <si>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</si>
  <si>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</si>
  <si>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</si>
  <si>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</si>
  <si>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</si>
  <si>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</si>
  <si>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</si>
  <si>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</si>
  <si>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</si>
  <si>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</si>
  <si>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</si>
  <si>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</si>
  <si>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</si>
  <si>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</si>
  <si>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</si>
  <si>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</si>
  <si>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</si>
  <si>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</si>
  <si>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</si>
  <si>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</si>
  <si>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</si>
  <si>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</si>
  <si>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</si>
  <si>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</si>
  <si>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</si>
  <si>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</si>
  <si>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</si>
  <si>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</si>
  <si>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</si>
  <si>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</si>
  <si>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</si>
  <si>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</si>
  <si>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</si>
  <si>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</si>
  <si>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</si>
  <si>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</si>
  <si>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</si>
  <si>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</si>
  <si>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</si>
  <si>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</si>
  <si>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</si>
  <si>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</si>
  <si>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</si>
  <si>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</si>
  <si>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</si>
  <si>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</si>
  <si>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</si>
  <si>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</si>
  <si>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</si>
  <si>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</si>
  <si>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</si>
  <si>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</si>
  <si>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</si>
  <si>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</si>
  <si>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</si>
  <si>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</si>
  <si>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</si>
  <si>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</si>
  <si>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</si>
  <si>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</si>
  <si>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</si>
  <si>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</si>
  <si>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</si>
  <si>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</si>
  <si>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</si>
  <si>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</si>
  <si>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</si>
  <si>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</si>
  <si>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</si>
  <si>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</si>
  <si>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</si>
  <si>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</si>
  <si>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</si>
  <si>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</si>
  <si>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</si>
  <si>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</si>
  <si>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</si>
  <si>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</si>
  <si>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</si>
  <si>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</si>
  <si>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</si>
  <si>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</si>
  <si>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</si>
  <si>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</si>
  <si>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</si>
  <si>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</si>
  <si>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</si>
  <si>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</si>
  <si>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</si>
  <si>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</si>
  <si>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</si>
  <si>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</si>
  <si>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</si>
  <si>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</si>
  <si>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</si>
  <si>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</si>
  <si>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</si>
  <si>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</si>
  <si>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</si>
  <si>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</si>
  <si>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</si>
  <si>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</si>
  <si>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</si>
  <si>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</si>
  <si>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</si>
  <si>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</si>
  <si>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</si>
  <si>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</si>
  <si>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</si>
  <si>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</si>
  <si>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</si>
  <si>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</si>
  <si>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</si>
  <si>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</si>
  <si>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</si>
  <si>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</si>
  <si>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</si>
  <si>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</si>
  <si>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</si>
  <si>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</si>
  <si>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</si>
  <si>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</si>
  <si>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</si>
  <si>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</si>
  <si>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</si>
  <si>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</si>
  <si>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</si>
  <si>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</si>
  <si>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</si>
  <si>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</si>
  <si>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</si>
  <si>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</si>
  <si>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</si>
  <si>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</si>
  <si>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</si>
  <si>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</si>
  <si>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</si>
  <si>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</si>
  <si>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</si>
  <si>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</si>
  <si>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</si>
  <si>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</si>
  <si>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</si>
  <si>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</si>
  <si>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</si>
  <si>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</si>
  <si>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</si>
  <si>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</si>
  <si>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</si>
  <si>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</si>
  <si>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</si>
  <si>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</si>
  <si>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</si>
  <si>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</si>
  <si>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</si>
  <si>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</si>
  <si>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</si>
  <si>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</si>
  <si>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</si>
  <si>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</si>
  <si>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</si>
  <si>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</si>
  <si>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</si>
  <si>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</si>
  <si>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</si>
  <si>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</si>
  <si>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</si>
  <si>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</si>
  <si>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</si>
  <si>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</si>
  <si>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</si>
  <si>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</si>
  <si>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</si>
  <si>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</si>
  <si>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</si>
  <si>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</si>
  <si>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</si>
  <si>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</si>
  <si>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</si>
  <si>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</si>
  <si>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</si>
  <si>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</si>
  <si>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</si>
  <si>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</si>
  <si>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ロックオンした時はプレイヤーと敵の中間点をカメラは見続ける</t>
    <rPh sb="7" eb="8">
      <t>トキ</t>
    </rPh>
    <rPh sb="15" eb="16">
      <t>テキ</t>
    </rPh>
    <rPh sb="17" eb="20">
      <t>チュウカンテン</t>
    </rPh>
    <rPh sb="25" eb="27">
      <t>ミツヅ</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</si>
  <si>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</si>
  <si>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</si>
  <si>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</si>
  <si>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</si>
  <si>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</si>
  <si>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</si>
  <si>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</si>
  <si>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</si>
  <si>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</si>
  <si>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</si>
  <si>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</si>
  <si>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</si>
  <si>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</si>
  <si>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</si>
  <si>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</si>
  <si>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</si>
  <si>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</si>
  <si>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</si>
  <si>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</si>
  <si>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</si>
  <si>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</si>
  <si>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</si>
  <si>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</si>
  <si>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</si>
  <si>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</si>
  <si>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</si>
  <si>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</si>
  <si>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</si>
  <si>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</si>
  <si>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</si>
  <si>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</si>
  <si>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</si>
  <si>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</si>
  <si>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</si>
  <si>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</si>
  <si>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</si>
  <si>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</si>
  <si>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</si>
  <si>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</si>
  <si>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</si>
  <si>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</si>
  <si>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</si>
  <si>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</si>
  <si>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</si>
  <si>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</si>
  <si>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</si>
  <si>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</si>
  <si>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</si>
  <si>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</si>
  <si>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</si>
  <si>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</si>
  <si>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</si>
  <si>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</si>
  <si>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</si>
  <si>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</si>
  <si>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</si>
  <si>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</si>
  <si>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</si>
  <si>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</si>
  <si>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</si>
  <si>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</si>
  <si>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</si>
  <si>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</si>
  <si>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</si>
  <si>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</si>
  <si>
    <t>スキル、ウルトゲージ周り</t>
    <rPh sb="10" eb="11">
      <t>マワ</t>
    </rPh>
    <phoneticPr fontId="1"/>
  </si>
  <si>
    <t>ロックオンカメラ切り替え、死亡時の自動切換え</t>
    <rPh sb="8" eb="9">
      <t>キ</t>
    </rPh>
    <rPh sb="10" eb="11">
      <t>カ</t>
    </rPh>
    <rPh sb="13" eb="16">
      <t>シボウジ</t>
    </rPh>
    <rPh sb="17" eb="19">
      <t>ジドウ</t>
    </rPh>
    <rPh sb="19" eb="21">
      <t>キリカ</t>
    </rPh>
    <phoneticPr fontId="1"/>
  </si>
  <si>
    <t>ジャンプ時のカメラの改善終わり、</t>
    <rPh sb="4" eb="5">
      <t>ジ</t>
    </rPh>
    <rPh sb="10" eb="12">
      <t>カイゼン</t>
    </rPh>
    <rPh sb="12" eb="13">
      <t>オ</t>
    </rPh>
    <phoneticPr fontId="1"/>
  </si>
  <si>
    <t>敵が空中で死ぬの変だし、攻撃をした敵の空中-&gt;地面のノックバックが変</t>
    <rPh sb="0" eb="1">
      <t>テキ</t>
    </rPh>
    <rPh sb="2" eb="4">
      <t>クウチュウ</t>
    </rPh>
    <rPh sb="5" eb="6">
      <t>シ</t>
    </rPh>
    <rPh sb="8" eb="9">
      <t>ヘン</t>
    </rPh>
    <rPh sb="12" eb="14">
      <t>コウゲキ</t>
    </rPh>
    <rPh sb="17" eb="18">
      <t>テキ</t>
    </rPh>
    <rPh sb="19" eb="21">
      <t>クウチュウ</t>
    </rPh>
    <rPh sb="23" eb="25">
      <t>ジメン</t>
    </rPh>
    <rPh sb="33" eb="34">
      <t>ヘン</t>
    </rPh>
    <phoneticPr fontId="1"/>
  </si>
  <si>
    <t>敵が吹っ飛ばされた後は、しばらく動けない状態にしたい</t>
    <rPh sb="0" eb="1">
      <t>テキ</t>
    </rPh>
    <rPh sb="2" eb="3">
      <t>フ</t>
    </rPh>
    <rPh sb="4" eb="5">
      <t>ト</t>
    </rPh>
    <rPh sb="9" eb="10">
      <t>アト</t>
    </rPh>
    <rPh sb="16" eb="17">
      <t>ウゴ</t>
    </rPh>
    <rPh sb="20" eb="22">
      <t>ジョウタイ</t>
    </rPh>
    <phoneticPr fontId="1"/>
  </si>
  <si>
    <t>次やることは、攻撃の操作感改善のための、ロックオンシステムの改善</t>
    <rPh sb="0" eb="1">
      <t>ツギ</t>
    </rPh>
    <rPh sb="7" eb="9">
      <t>コウゲキ</t>
    </rPh>
    <rPh sb="10" eb="13">
      <t>ソウサカン</t>
    </rPh>
    <rPh sb="13" eb="15">
      <t>カイゼン</t>
    </rPh>
    <rPh sb="30" eb="32">
      <t>カイゼン</t>
    </rPh>
    <phoneticPr fontId="1"/>
  </si>
  <si>
    <t>ロックオンの切り替えはできるようになった。</t>
    <rPh sb="6" eb="7">
      <t>キ</t>
    </rPh>
    <rPh sb="8" eb="9">
      <t>カ</t>
    </rPh>
    <phoneticPr fontId="1"/>
  </si>
  <si>
    <t>次は、ロックオンしている敵が死んだとき、自動でターゲットが切り替わる仕組み</t>
    <rPh sb="0" eb="1">
      <t>ツギ</t>
    </rPh>
    <rPh sb="12" eb="13">
      <t>テキ</t>
    </rPh>
    <rPh sb="14" eb="15">
      <t>シ</t>
    </rPh>
    <rPh sb="20" eb="22">
      <t>ジドウ</t>
    </rPh>
    <rPh sb="29" eb="30">
      <t>キ</t>
    </rPh>
    <rPh sb="31" eb="32">
      <t>カ</t>
    </rPh>
    <rPh sb="34" eb="36">
      <t>シク</t>
    </rPh>
    <phoneticPr fontId="1"/>
  </si>
  <si>
    <t>終わったので、ターゲットしている敵に向かって攻撃する仕組みを作る</t>
    <rPh sb="0" eb="1">
      <t>オ</t>
    </rPh>
    <rPh sb="16" eb="17">
      <t>テキ</t>
    </rPh>
    <rPh sb="18" eb="19">
      <t>ム</t>
    </rPh>
    <rPh sb="22" eb="24">
      <t>コウゲキ</t>
    </rPh>
    <rPh sb="26" eb="28">
      <t>シク</t>
    </rPh>
    <rPh sb="30" eb="31">
      <t>ツク</t>
    </rPh>
    <phoneticPr fontId="1"/>
  </si>
  <si>
    <t>ロックオンの時のターゲットもプレイヤーカメラ同様にプレイヤーの高さに応じて、割合を決めて変えるようにする</t>
    <rPh sb="6" eb="7">
      <t>トキ</t>
    </rPh>
    <rPh sb="22" eb="24">
      <t>ドウヨウ</t>
    </rPh>
    <rPh sb="31" eb="32">
      <t>タカ</t>
    </rPh>
    <rPh sb="34" eb="35">
      <t>オウ</t>
    </rPh>
    <rPh sb="38" eb="40">
      <t>ワリアイ</t>
    </rPh>
    <rPh sb="41" eb="42">
      <t>キ</t>
    </rPh>
    <rPh sb="44" eb="45">
      <t>カ</t>
    </rPh>
    <phoneticPr fontId="1"/>
  </si>
  <si>
    <t>ロックオンしていないとき、の内部的なターゲットについて</t>
    <rPh sb="14" eb="17">
      <t>ナイブテキ</t>
    </rPh>
    <phoneticPr fontId="1"/>
  </si>
  <si>
    <t>内部ロックオンの基盤は完成→現在は、攻撃したら内部ロックオンの設定を完了</t>
    <rPh sb="0" eb="2">
      <t>ナイブ</t>
    </rPh>
    <rPh sb="8" eb="10">
      <t>キバン</t>
    </rPh>
    <rPh sb="11" eb="13">
      <t>カンセイ</t>
    </rPh>
    <rPh sb="14" eb="16">
      <t>ゲンザイ</t>
    </rPh>
    <rPh sb="18" eb="20">
      <t>コウゲキ</t>
    </rPh>
    <rPh sb="23" eb="25">
      <t>ナイブ</t>
    </rPh>
    <rPh sb="31" eb="33">
      <t>セッテイ</t>
    </rPh>
    <rPh sb="34" eb="36">
      <t>カンリョウ</t>
    </rPh>
    <phoneticPr fontId="1"/>
  </si>
  <si>
    <t>次は、攻撃の時に入力があったら、その方向に敵がいたら内部ターゲットを切り替える、いなかったらそのまま</t>
    <rPh sb="0" eb="1">
      <t>ツギ</t>
    </rPh>
    <rPh sb="3" eb="5">
      <t>コウゲキ</t>
    </rPh>
    <rPh sb="6" eb="7">
      <t>トキ</t>
    </rPh>
    <rPh sb="8" eb="10">
      <t>ニュウリョク</t>
    </rPh>
    <rPh sb="18" eb="20">
      <t>ホウコウ</t>
    </rPh>
    <rPh sb="21" eb="22">
      <t>テキ</t>
    </rPh>
    <rPh sb="26" eb="28">
      <t>ナイブ</t>
    </rPh>
    <rPh sb="34" eb="35">
      <t>キ</t>
    </rPh>
    <rPh sb="36" eb="37">
      <t>カ</t>
    </rPh>
    <phoneticPr fontId="1"/>
  </si>
  <si>
    <t>また、内部ターゲットがいなかったらその敵を探す仕組みがあってもいい</t>
    <rPh sb="3" eb="5">
      <t>ナイブ</t>
    </rPh>
    <rPh sb="19" eb="20">
      <t>テキ</t>
    </rPh>
    <rPh sb="21" eb="22">
      <t>サガ</t>
    </rPh>
    <rPh sb="23" eb="25">
      <t>シク</t>
    </rPh>
    <phoneticPr fontId="1"/>
  </si>
  <si>
    <t>攻撃が当たったタイミングで新しいカメラ(攻撃中にカッコいい角度のするカメラ)に切り替えて、右スティックの入力があったら、PlayerCameraに戻すs</t>
    <rPh sb="0" eb="2">
      <t>コウゲキ</t>
    </rPh>
    <rPh sb="3" eb="4">
      <t>ア</t>
    </rPh>
    <rPh sb="13" eb="14">
      <t>アタラ</t>
    </rPh>
    <rPh sb="20" eb="23">
      <t>コウゲキチュウ</t>
    </rPh>
    <rPh sb="29" eb="31">
      <t>カクド</t>
    </rPh>
    <rPh sb="39" eb="40">
      <t>キ</t>
    </rPh>
    <rPh sb="41" eb="42">
      <t>カ</t>
    </rPh>
    <rPh sb="45" eb="46">
      <t>ミギ</t>
    </rPh>
    <rPh sb="52" eb="54">
      <t>ニュウリョク</t>
    </rPh>
    <rPh sb="73" eb="74">
      <t>モド</t>
    </rPh>
    <phoneticPr fontId="1"/>
  </si>
  <si>
    <t>PlayerStateAttackでgamesceneの関数を呼び出す-&gt;入力方向に敵がいたら内部ターゲットをきりかえる</t>
    <rPh sb="28" eb="30">
      <t>カンスウ</t>
    </rPh>
    <rPh sb="31" eb="32">
      <t>ヨ</t>
    </rPh>
    <rPh sb="33" eb="34">
      <t>ダ</t>
    </rPh>
    <rPh sb="37" eb="41">
      <t>ニュウリョクホウコウ</t>
    </rPh>
    <rPh sb="42" eb="43">
      <t>テキ</t>
    </rPh>
    <rPh sb="47" eb="49">
      <t>ナイブ</t>
    </rPh>
    <phoneticPr fontId="1"/>
  </si>
  <si>
    <t>内部ロックオンの仕組み終わった！すべて終わったと思う</t>
    <rPh sb="0" eb="2">
      <t>ナイブ</t>
    </rPh>
    <rPh sb="8" eb="10">
      <t>シク</t>
    </rPh>
    <rPh sb="11" eb="12">
      <t>オ</t>
    </rPh>
    <rPh sb="19" eb="20">
      <t>オ</t>
    </rPh>
    <rPh sb="24" eb="25">
      <t>オモ</t>
    </rPh>
    <phoneticPr fontId="1"/>
  </si>
  <si>
    <t>後は、内部ロックオンした時にカッコいいカメラに行くように自然とカメラの位置を変える（攻撃が当たったタイミングで）</t>
    <rPh sb="0" eb="1">
      <t>アト</t>
    </rPh>
    <rPh sb="3" eb="5">
      <t>ナイブ</t>
    </rPh>
    <rPh sb="12" eb="13">
      <t>トキ</t>
    </rPh>
    <rPh sb="23" eb="24">
      <t>イ</t>
    </rPh>
    <rPh sb="28" eb="30">
      <t>シゼン</t>
    </rPh>
    <rPh sb="35" eb="37">
      <t>イチ</t>
    </rPh>
    <rPh sb="38" eb="39">
      <t>カ</t>
    </rPh>
    <rPh sb="42" eb="44">
      <t>コウゲキ</t>
    </rPh>
    <rPh sb="45" eb="46">
      <t>ア</t>
    </rPh>
    <phoneticPr fontId="1"/>
  </si>
  <si>
    <t>自然と変えるやつは、その左右の切り替えが変だからよくわからない</t>
    <rPh sb="0" eb="2">
      <t>シゼン</t>
    </rPh>
    <rPh sb="3" eb="4">
      <t>カ</t>
    </rPh>
    <rPh sb="12" eb="14">
      <t>サユウ</t>
    </rPh>
    <rPh sb="15" eb="16">
      <t>キ</t>
    </rPh>
    <rPh sb="17" eb="18">
      <t>カ</t>
    </rPh>
    <rPh sb="20" eb="21">
      <t>ヘン</t>
    </rPh>
    <phoneticPr fontId="1"/>
  </si>
  <si>
    <t>今から、ロックオンした時のカメラの注視点の位置を割合にする</t>
    <rPh sb="0" eb="1">
      <t>イマ</t>
    </rPh>
    <rPh sb="11" eb="12">
      <t>トキ</t>
    </rPh>
    <rPh sb="17" eb="20">
      <t>チュウシテン</t>
    </rPh>
    <rPh sb="21" eb="23">
      <t>イチ</t>
    </rPh>
    <rPh sb="24" eb="26">
      <t>ワリアイ</t>
    </rPh>
    <phoneticPr fontId="1"/>
  </si>
  <si>
    <t>なんかあんまりうまくいかなかった、もっと研究が必要(血殺の時の角度について)</t>
    <rPh sb="20" eb="22">
      <t>ケンキュウ</t>
    </rPh>
    <rPh sb="23" eb="25">
      <t>ヒツヨウ</t>
    </rPh>
    <rPh sb="26" eb="27">
      <t>チ</t>
    </rPh>
    <rPh sb="27" eb="28">
      <t>サツ</t>
    </rPh>
    <rPh sb="29" eb="30">
      <t>トキ</t>
    </rPh>
    <rPh sb="31" eb="33">
      <t>カクド</t>
    </rPh>
    <phoneticPr fontId="1"/>
  </si>
  <si>
    <t>これで基本的にやりたいことは終わった</t>
    <rPh sb="3" eb="6">
      <t>キホンテキ</t>
    </rPh>
    <rPh sb="14" eb="15">
      <t>オ</t>
    </rPh>
    <phoneticPr fontId="1"/>
  </si>
  <si>
    <t>次は、カプセルコライダーとかボックスコライダーを足す</t>
    <rPh sb="0" eb="1">
      <t>ツギ</t>
    </rPh>
    <rPh sb="24" eb="25">
      <t>タ</t>
    </rPh>
    <phoneticPr fontId="1"/>
  </si>
  <si>
    <t>orモデル切り替えや、例キャストで地面との当たり判定を常にとるなど</t>
    <rPh sb="5" eb="6">
      <t>キ</t>
    </rPh>
    <rPh sb="7" eb="8">
      <t>カ</t>
    </rPh>
    <rPh sb="11" eb="12">
      <t>レイ</t>
    </rPh>
    <rPh sb="17" eb="19">
      <t>ジメン</t>
    </rPh>
    <rPh sb="21" eb="22">
      <t>ア</t>
    </rPh>
    <rPh sb="24" eb="26">
      <t>ハンテイ</t>
    </rPh>
    <rPh sb="27" eb="28">
      <t>ツネ</t>
    </rPh>
    <phoneticPr fontId="1"/>
  </si>
  <si>
    <t>敵の吹っ飛んだ後、ダウン状態にするようにした</t>
    <rPh sb="0" eb="1">
      <t>テキ</t>
    </rPh>
    <rPh sb="2" eb="3">
      <t>フ</t>
    </rPh>
    <rPh sb="4" eb="5">
      <t>ト</t>
    </rPh>
    <rPh sb="7" eb="8">
      <t>アト</t>
    </rPh>
    <rPh sb="12" eb="14">
      <t>ジョウタイ</t>
    </rPh>
    <phoneticPr fontId="1"/>
  </si>
  <si>
    <t>次は、カプセルコライダーorレイキャストで地面との当たり判定をとる、血殺のシェーダーのどれか</t>
    <rPh sb="0" eb="1">
      <t>ツギ</t>
    </rPh>
    <rPh sb="21" eb="23">
      <t>ジメン</t>
    </rPh>
    <rPh sb="25" eb="26">
      <t>ア</t>
    </rPh>
    <rPh sb="28" eb="30">
      <t>ハンテイ</t>
    </rPh>
    <rPh sb="34" eb="35">
      <t>チ</t>
    </rPh>
    <rPh sb="35" eb="36">
      <t>サツ</t>
    </rPh>
    <phoneticPr fontId="1"/>
  </si>
  <si>
    <t>レイキャストかな</t>
    <phoneticPr fontId="1"/>
  </si>
  <si>
    <t>そのあとシェーダー</t>
    <phoneticPr fontId="1"/>
  </si>
  <si>
    <t>レイキャスト終了、カプセルコライダーのdxLibのほうは慣れたからそれやってもいい</t>
    <rPh sb="6" eb="8">
      <t>シュウリョウ</t>
    </rPh>
    <rPh sb="28" eb="29">
      <t>ナ</t>
    </rPh>
    <phoneticPr fontId="1"/>
  </si>
  <si>
    <t>もしくは、シェーダー</t>
    <phoneticPr fontId="1"/>
  </si>
  <si>
    <t>まずはステージ制作のリメイクをする</t>
    <rPh sb="7" eb="9">
      <t>セイサク</t>
    </rPh>
    <phoneticPr fontId="1"/>
  </si>
  <si>
    <t>階段（段差）や、斜めの床、高台を追加した。なぜか、カメラ周りの処理や、壁付近でジャンプした時どうなっているのかがわからない</t>
    <rPh sb="0" eb="2">
      <t>カイダン</t>
    </rPh>
    <rPh sb="3" eb="5">
      <t>ダンサ</t>
    </rPh>
    <rPh sb="8" eb="9">
      <t>ナナ</t>
    </rPh>
    <rPh sb="11" eb="12">
      <t>ユカ</t>
    </rPh>
    <rPh sb="13" eb="15">
      <t>タカダイ</t>
    </rPh>
    <rPh sb="16" eb="18">
      <t>ツイカ</t>
    </rPh>
    <rPh sb="28" eb="29">
      <t>マワ</t>
    </rPh>
    <rPh sb="31" eb="33">
      <t>ショリ</t>
    </rPh>
    <rPh sb="35" eb="38">
      <t>カベフキン</t>
    </rPh>
    <rPh sb="45" eb="46">
      <t>トキ</t>
    </rPh>
    <phoneticPr fontId="1"/>
  </si>
  <si>
    <t>その辺をする、一旦聞いて、無理そうだったらシェーダーとかをする</t>
    <rPh sb="2" eb="3">
      <t>ヘン</t>
    </rPh>
    <rPh sb="7" eb="10">
      <t>イッタンキ</t>
    </rPh>
    <rPh sb="13" eb="15">
      <t>ムリ</t>
    </rPh>
    <phoneticPr fontId="1"/>
  </si>
  <si>
    <t>プレイヤーのモデル切り替えの仕組みと、ポリゴンとの当たり判定を同時進行で進めている</t>
    <rPh sb="9" eb="10">
      <t>キ</t>
    </rPh>
    <rPh sb="11" eb="12">
      <t>カ</t>
    </rPh>
    <rPh sb="14" eb="16">
      <t>シク</t>
    </rPh>
    <rPh sb="25" eb="26">
      <t>ア</t>
    </rPh>
    <rPh sb="28" eb="30">
      <t>ハンテイ</t>
    </rPh>
    <rPh sb="31" eb="35">
      <t>ドウジシンコウ</t>
    </rPh>
    <rPh sb="36" eb="37">
      <t>スス</t>
    </rPh>
    <phoneticPr fontId="1"/>
  </si>
  <si>
    <t>先にk2用にアルファを進めることにした</t>
    <rPh sb="0" eb="1">
      <t>サキ</t>
    </rPh>
    <rPh sb="4" eb="5">
      <t>ヨウ</t>
    </rPh>
    <rPh sb="11" eb="12">
      <t>スス</t>
    </rPh>
    <phoneticPr fontId="1"/>
  </si>
  <si>
    <t>そのあと、↑のプレイヤーのモデル切り替えの仕組みとポリゴンとの当たり判定をしようかなと思っている</t>
    <rPh sb="16" eb="17">
      <t>キ</t>
    </rPh>
    <rPh sb="18" eb="19">
      <t>カ</t>
    </rPh>
    <rPh sb="21" eb="23">
      <t>シク</t>
    </rPh>
    <rPh sb="31" eb="32">
      <t>ア</t>
    </rPh>
    <rPh sb="34" eb="36">
      <t>ハンテイ</t>
    </rPh>
    <rPh sb="43" eb="44">
      <t>オモ</t>
    </rPh>
    <phoneticPr fontId="1"/>
  </si>
  <si>
    <t>アルファの次にすること</t>
    <rPh sb="5" eb="6">
      <t>ツギ</t>
    </rPh>
    <phoneticPr fontId="1"/>
  </si>
  <si>
    <t>waveごとにプレイヤーの動ける範囲を制限する</t>
    <rPh sb="13" eb="14">
      <t>ウゴ</t>
    </rPh>
    <rPh sb="16" eb="18">
      <t>ハンイ</t>
    </rPh>
    <rPh sb="19" eb="21">
      <t>セイゲン</t>
    </rPh>
    <phoneticPr fontId="1"/>
  </si>
  <si>
    <t>そのあとは、コンボノードや、操作Uiを追加する</t>
    <rPh sb="14" eb="16">
      <t>ソウサ</t>
    </rPh>
    <rPh sb="19" eb="21">
      <t>ツイカ</t>
    </rPh>
    <phoneticPr fontId="1"/>
  </si>
  <si>
    <t>正直、あんまり思いついていない→先輩に都度きく</t>
    <rPh sb="0" eb="2">
      <t>ショウジキ</t>
    </rPh>
    <rPh sb="7" eb="8">
      <t>オモ</t>
    </rPh>
    <rPh sb="16" eb="18">
      <t>センパイ</t>
    </rPh>
    <rPh sb="19" eb="21">
      <t>ツド</t>
    </rPh>
    <phoneticPr fontId="1"/>
  </si>
  <si>
    <t>24日までの10日間、アルファを進めるという認識でいい</t>
    <rPh sb="2" eb="3">
      <t>ニチ</t>
    </rPh>
    <rPh sb="8" eb="10">
      <t>ニチカン</t>
    </rPh>
    <rPh sb="16" eb="17">
      <t>スス</t>
    </rPh>
    <rPh sb="22" eb="24">
      <t>ニンシキ</t>
    </rPh>
    <phoneticPr fontId="1"/>
  </si>
  <si>
    <t>モデルの分離が意外といけそう</t>
    <rPh sb="4" eb="6">
      <t>ブンリ</t>
    </rPh>
    <rPh sb="7" eb="9">
      <t>イガイ</t>
    </rPh>
    <phoneticPr fontId="1"/>
  </si>
  <si>
    <t>モデルのそこからの子フレームをすべて取得して、</t>
    <rPh sb="9" eb="10">
      <t>コ</t>
    </rPh>
    <rPh sb="18" eb="20">
      <t>シュトク</t>
    </rPh>
    <phoneticPr fontId="1"/>
  </si>
  <si>
    <t>行列でスケールなどをゼロにする</t>
    <rPh sb="0" eb="2">
      <t>ギョウレツ</t>
    </rPh>
    <phoneticPr fontId="1"/>
  </si>
  <si>
    <t>そしたらないように見える</t>
    <rPh sb="9" eb="10">
      <t>ミ</t>
    </rPh>
    <phoneticPr fontId="1"/>
  </si>
  <si>
    <t>そこに、新しくもう1つのモデルを用意して、それを飛ばすことで、分離しているように見せれる</t>
    <rPh sb="4" eb="5">
      <t>アタラ</t>
    </rPh>
    <rPh sb="16" eb="18">
      <t>ヨウイ</t>
    </rPh>
    <rPh sb="24" eb="25">
      <t>ト</t>
    </rPh>
    <rPh sb="31" eb="33">
      <t>ブンリ</t>
    </rPh>
    <rPh sb="40" eb="41">
      <t>ミ</t>
    </rPh>
    <phoneticPr fontId="1"/>
  </si>
  <si>
    <t>モデルの分離方法を川野先生に教わった</t>
    <rPh sb="4" eb="8">
      <t>ブンリホウホウ</t>
    </rPh>
    <rPh sb="9" eb="10">
      <t>カワ</t>
    </rPh>
    <rPh sb="10" eb="11">
      <t>ノ</t>
    </rPh>
    <rPh sb="11" eb="13">
      <t>センセイ</t>
    </rPh>
    <rPh sb="14" eb="15">
      <t>オソ</t>
    </rPh>
    <phoneticPr fontId="1"/>
  </si>
  <si>
    <t>やることステージをちゃんと作る(れお先輩のステージを参考にする)</t>
    <rPh sb="13" eb="14">
      <t>ツク</t>
    </rPh>
    <rPh sb="18" eb="20">
      <t>センパイ</t>
    </rPh>
    <rPh sb="26" eb="28">
      <t>サンコウ</t>
    </rPh>
    <phoneticPr fontId="1"/>
  </si>
  <si>
    <t>playerの移動制限をした後、ヒットストップ、カメラシェイクを作る</t>
    <rPh sb="7" eb="11">
      <t>イドウセイゲン</t>
    </rPh>
    <rPh sb="14" eb="15">
      <t>アト</t>
    </rPh>
    <rPh sb="32" eb="33">
      <t>ツク</t>
    </rPh>
    <phoneticPr fontId="1"/>
  </si>
  <si>
    <t>そのあと、しっかりとしたステージを作る</t>
    <rPh sb="17" eb="18">
      <t>ツク</t>
    </rPh>
    <phoneticPr fontId="1"/>
  </si>
  <si>
    <t>移動制限、あとは数値をいじるだけ、次はヒットストップとカメラシェイクをする</t>
    <rPh sb="0" eb="4">
      <t>イドウセイゲン</t>
    </rPh>
    <rPh sb="8" eb="10">
      <t>スウチ</t>
    </rPh>
    <rPh sb="17" eb="18">
      <t>ツギ</t>
    </rPh>
    <phoneticPr fontId="1"/>
  </si>
  <si>
    <t>移動制限終了、アニメーション、ヒットストップ、カメラシェイクに入る</t>
    <rPh sb="0" eb="4">
      <t>イドウセイゲン</t>
    </rPh>
    <rPh sb="4" eb="6">
      <t>シュウリョウ</t>
    </rPh>
    <rPh sb="31" eb="32">
      <t>ハイ</t>
    </rPh>
    <phoneticPr fontId="1"/>
  </si>
  <si>
    <t>モーションによるモデルの切り替えいい感じ</t>
    <rPh sb="12" eb="13">
      <t>キ</t>
    </rPh>
    <rPh sb="14" eb="15">
      <t>カ</t>
    </rPh>
    <rPh sb="18" eb="19">
      <t>カン</t>
    </rPh>
    <phoneticPr fontId="1"/>
  </si>
  <si>
    <t>続いて、ヒットストップをする</t>
    <rPh sb="0" eb="1">
      <t>ツヅ</t>
    </rPh>
    <phoneticPr fontId="1"/>
  </si>
  <si>
    <t>orエフェクトを作るorシェーダー、ステージ制作</t>
    <rPh sb="8" eb="9">
      <t>ツク</t>
    </rPh>
    <rPh sb="22" eb="24">
      <t>セイサク</t>
    </rPh>
    <phoneticPr fontId="1"/>
  </si>
  <si>
    <t>ヒットストップ→あとはアニメーションクラスに所有者のタイムスケールを持ってきて、かけてあげる</t>
    <rPh sb="22" eb="25">
      <t>ショユウシャ</t>
    </rPh>
    <rPh sb="34" eb="35">
      <t>モ</t>
    </rPh>
    <phoneticPr fontId="1"/>
  </si>
  <si>
    <t>ColUpdateで初期化してる</t>
    <rPh sb="10" eb="13">
      <t>ショキカ</t>
    </rPh>
    <phoneticPr fontId="1"/>
  </si>
  <si>
    <t>エフェクトがなんかあまりうまく表示されないが、一旦これでいく</t>
    <rPh sb="15" eb="17">
      <t>ヒョウジ</t>
    </rPh>
    <rPh sb="23" eb="25">
      <t>イッタン</t>
    </rPh>
    <phoneticPr fontId="1"/>
  </si>
  <si>
    <t>川野先生に解決してもらう</t>
    <rPh sb="0" eb="4">
      <t>カワノセンセイ</t>
    </rPh>
    <rPh sb="5" eb="7">
      <t>カイケツ</t>
    </rPh>
    <phoneticPr fontId="1"/>
  </si>
  <si>
    <t>ステージの制作をする</t>
    <rPh sb="5" eb="7">
      <t>セイサク</t>
    </rPh>
    <phoneticPr fontId="1"/>
  </si>
  <si>
    <t>一旦見た目を作ったので、大きさの確認をする</t>
    <rPh sb="0" eb="2">
      <t>イッタン</t>
    </rPh>
    <rPh sb="2" eb="3">
      <t>ミ</t>
    </rPh>
    <rPh sb="4" eb="5">
      <t>メ</t>
    </rPh>
    <rPh sb="6" eb="7">
      <t>ツク</t>
    </rPh>
    <rPh sb="12" eb="13">
      <t>オオ</t>
    </rPh>
    <rPh sb="16" eb="18">
      <t>カクニン</t>
    </rPh>
    <phoneticPr fontId="1"/>
  </si>
  <si>
    <t>大きさの確認終了</t>
    <rPh sb="0" eb="1">
      <t>オオ</t>
    </rPh>
    <rPh sb="4" eb="8">
      <t>カクニンシュウリョウ</t>
    </rPh>
    <phoneticPr fontId="1"/>
  </si>
  <si>
    <t>見た目の整理終わり</t>
    <rPh sb="0" eb="1">
      <t>ミ</t>
    </rPh>
    <rPh sb="2" eb="3">
      <t>メ</t>
    </rPh>
    <rPh sb="4" eb="6">
      <t>セイリ</t>
    </rPh>
    <rPh sb="6" eb="7">
      <t>オ</t>
    </rPh>
    <phoneticPr fontId="1"/>
  </si>
  <si>
    <t>元の作業に戻る</t>
    <rPh sb="0" eb="1">
      <t>モト</t>
    </rPh>
    <rPh sb="2" eb="4">
      <t>サギョウ</t>
    </rPh>
    <rPh sb="5" eb="6">
      <t>モド</t>
    </rPh>
    <phoneticPr fontId="1"/>
  </si>
  <si>
    <t>次はカメラシェイク、orrカメラが変なので、修正</t>
    <rPh sb="0" eb="1">
      <t>ツギ</t>
    </rPh>
    <rPh sb="17" eb="18">
      <t>ヘン</t>
    </rPh>
    <rPh sb="22" eb="24">
      <t>シュウセイ</t>
    </rPh>
    <phoneticPr fontId="1"/>
  </si>
  <si>
    <t>orシェーダー</t>
    <phoneticPr fontId="1"/>
  </si>
  <si>
    <t>タイトルシーンのあん</t>
    <phoneticPr fontId="1"/>
  </si>
  <si>
    <t>タイトルがまずぱっと出てきて、プレイヤーがけって、正しい位置にずらして剣をとりだす</t>
    <phoneticPr fontId="1"/>
  </si>
  <si>
    <t>リザルトシーン</t>
    <phoneticPr fontId="1"/>
  </si>
  <si>
    <t>スコア型</t>
    <rPh sb="3" eb="4">
      <t>ガタ</t>
    </rPh>
    <phoneticPr fontId="1"/>
  </si>
  <si>
    <t>aって出てきた後、剣で切ってSをだす</t>
    <rPh sb="3" eb="4">
      <t>デ</t>
    </rPh>
    <rPh sb="7" eb="8">
      <t>アト</t>
    </rPh>
    <rPh sb="9" eb="10">
      <t>ケン</t>
    </rPh>
    <rPh sb="11" eb="12">
      <t>キ</t>
    </rPh>
    <phoneticPr fontId="1"/>
  </si>
  <si>
    <t>その際、ブレンダーで作ったモデルでばらばらにする表現をする</t>
    <rPh sb="2" eb="3">
      <t>サイ</t>
    </rPh>
    <rPh sb="10" eb="11">
      <t>ツク</t>
    </rPh>
    <rPh sb="24" eb="26">
      <t>ヒョウゲン</t>
    </rPh>
    <phoneticPr fontId="1"/>
  </si>
  <si>
    <t>非同期ロードをする</t>
    <rPh sb="0" eb="3">
      <t>ヒドウキ</t>
    </rPh>
    <phoneticPr fontId="1"/>
  </si>
  <si>
    <t>そのあと、タイトルシーンなどを作り始める</t>
    <rPh sb="15" eb="16">
      <t>ツク</t>
    </rPh>
    <rPh sb="17" eb="18">
      <t>ハジ</t>
    </rPh>
    <phoneticPr fontId="1"/>
  </si>
  <si>
    <t>タイトルがシェーダーででてくる→プレイヤーがおりてくる→文字をけってずらす</t>
    <rPh sb="28" eb="30">
      <t>モジ</t>
    </rPh>
    <phoneticPr fontId="1"/>
  </si>
  <si>
    <t>シェーダーをやっている</t>
    <phoneticPr fontId="1"/>
  </si>
  <si>
    <t>敵のアニメーションが動かない問題は自作のVSシェーダーを使うのではなく、DxLibの既存のVSシェーダを使うことで解決するらしい</t>
    <rPh sb="0" eb="1">
      <t>テキ</t>
    </rPh>
    <rPh sb="10" eb="11">
      <t>ウゴ</t>
    </rPh>
    <rPh sb="14" eb="16">
      <t>モンダイ</t>
    </rPh>
    <rPh sb="17" eb="19">
      <t>ジサク</t>
    </rPh>
    <rPh sb="28" eb="29">
      <t>ツカ</t>
    </rPh>
    <rPh sb="42" eb="44">
      <t>キゾン</t>
    </rPh>
    <rPh sb="52" eb="53">
      <t>ツカ</t>
    </rPh>
    <rPh sb="57" eb="59">
      <t>カイケツ</t>
    </rPh>
    <phoneticPr fontId="1"/>
  </si>
  <si>
    <t>それは川野先生のProjectから持ってくる、そして、カメラ行列の適用はいらないらしい、自動でやるらしい</t>
    <rPh sb="3" eb="7">
      <t>カワノセンセイ</t>
    </rPh>
    <rPh sb="17" eb="18">
      <t>モ</t>
    </rPh>
    <rPh sb="30" eb="32">
      <t>ギョウレツ</t>
    </rPh>
    <rPh sb="33" eb="35">
      <t>テキヨウ</t>
    </rPh>
    <rPh sb="44" eb="46">
      <t>ジドウ</t>
    </rPh>
    <phoneticPr fontId="1"/>
  </si>
  <si>
    <t>シェーダーは何かバグったので、川野先生の質問まち</t>
    <rPh sb="6" eb="7">
      <t>ナニ</t>
    </rPh>
    <rPh sb="15" eb="19">
      <t>カワノセンセイ</t>
    </rPh>
    <rPh sb="20" eb="21">
      <t>シツ</t>
    </rPh>
    <phoneticPr fontId="1"/>
  </si>
  <si>
    <t>敵座標をもう一度入れなおして、そのあと、タイトルシーンをする</t>
    <rPh sb="0" eb="3">
      <t>テキザヒョウ</t>
    </rPh>
    <rPh sb="6" eb="8">
      <t>イチド</t>
    </rPh>
    <rPh sb="8" eb="9">
      <t>イ</t>
    </rPh>
    <phoneticPr fontId="1"/>
  </si>
  <si>
    <t>敵座標入れなおした</t>
    <rPh sb="0" eb="3">
      <t>テキザヒョウ</t>
    </rPh>
    <rPh sb="3" eb="4">
      <t>イ</t>
    </rPh>
    <phoneticPr fontId="1"/>
  </si>
  <si>
    <t>非同期ロードのメモリを削除した</t>
    <rPh sb="0" eb="3">
      <t>ヒドウキ</t>
    </rPh>
    <rPh sb="11" eb="13">
      <t>サクジョ</t>
    </rPh>
    <phoneticPr fontId="1"/>
  </si>
  <si>
    <t>次はカメラ揺らすのと、ヒットエフェクトを出す</t>
    <rPh sb="0" eb="1">
      <t>ツギ</t>
    </rPh>
    <rPh sb="5" eb="6">
      <t>ユ</t>
    </rPh>
    <rPh sb="20" eb="21">
      <t>ダ</t>
    </rPh>
    <phoneticPr fontId="1"/>
  </si>
  <si>
    <t>そのあと、タイトルシーンとかやっていきたい</t>
    <phoneticPr fontId="1"/>
  </si>
  <si>
    <t>敵がy座標マイナスになったら死ぬようにする</t>
    <rPh sb="0" eb="1">
      <t>テキ</t>
    </rPh>
    <rPh sb="3" eb="5">
      <t>ザヒョウ</t>
    </rPh>
    <rPh sb="14" eb="15">
      <t>シ</t>
    </rPh>
    <phoneticPr fontId="1"/>
  </si>
  <si>
    <t>キャラクターの移動量を調整する</t>
    <rPh sb="7" eb="10">
      <t>イドウリョウ</t>
    </rPh>
    <rPh sb="11" eb="13">
      <t>チョウセイ</t>
    </rPh>
    <phoneticPr fontId="1"/>
  </si>
  <si>
    <t>24日までにヒットエフェクトを実装する</t>
    <rPh sb="2" eb="3">
      <t>ニチ</t>
    </rPh>
    <rPh sb="15" eb="17">
      <t>ジッソウ</t>
    </rPh>
    <phoneticPr fontId="1"/>
  </si>
  <si>
    <t>24日までにカメラの揺れやヒットストップを実装する</t>
    <rPh sb="2" eb="3">
      <t>ニチ</t>
    </rPh>
    <rPh sb="10" eb="11">
      <t>ユ</t>
    </rPh>
    <rPh sb="21" eb="23">
      <t>ジッソウ</t>
    </rPh>
    <phoneticPr fontId="1"/>
  </si>
  <si>
    <t>敵の移動量を制限する</t>
    <rPh sb="0" eb="1">
      <t>テキ</t>
    </rPh>
    <rPh sb="2" eb="5">
      <t>イドウリョウ</t>
    </rPh>
    <rPh sb="6" eb="8">
      <t>セイゲン</t>
    </rPh>
    <phoneticPr fontId="1"/>
  </si>
  <si>
    <t>攻撃がおそらく単体にしか当たっていない←解決</t>
    <rPh sb="0" eb="2">
      <t>コウゲキ</t>
    </rPh>
    <rPh sb="7" eb="9">
      <t>タンタイ</t>
    </rPh>
    <rPh sb="12" eb="13">
      <t>ア</t>
    </rPh>
    <rPh sb="20" eb="22">
      <t>カイケツ</t>
    </rPh>
    <phoneticPr fontId="1"/>
  </si>
  <si>
    <t>CollisionのOnTrigger、OnPress,OnExitを作る</t>
    <rPh sb="35" eb="36">
      <t>ツク</t>
    </rPh>
    <phoneticPr fontId="1"/>
  </si>
  <si>
    <t>剣のスキルエフェクトを追加する</t>
    <rPh sb="0" eb="1">
      <t>ケン</t>
    </rPh>
    <rPh sb="11" eb="13">
      <t>ツイカ</t>
    </rPh>
    <phoneticPr fontId="1"/>
  </si>
  <si>
    <t>剣のエフェクト三種</t>
    <rPh sb="0" eb="1">
      <t>ケン</t>
    </rPh>
    <rPh sb="7" eb="9">
      <t>サンシュ</t>
    </rPh>
    <phoneticPr fontId="1"/>
  </si>
  <si>
    <t>必殺技のエフェクト1種</t>
    <rPh sb="0" eb="3">
      <t>ヒッサツワザ</t>
    </rPh>
    <rPh sb="10" eb="11">
      <t>シュ</t>
    </rPh>
    <phoneticPr fontId="1"/>
  </si>
  <si>
    <t>削除</t>
    <rPh sb="0" eb="2">
      <t>サクジョ</t>
    </rPh>
    <phoneticPr fontId="1"/>
  </si>
  <si>
    <t>未着手</t>
    <phoneticPr fontId="1"/>
  </si>
  <si>
    <t>問題点</t>
    <rPh sb="0" eb="3">
      <t>モンダイテン</t>
    </rPh>
    <phoneticPr fontId="1"/>
  </si>
  <si>
    <t>内部ターゲットを攻撃の当たった敵に毎回登録しているので、ふくすうの敵に当たった場合、カメラががくがくになる</t>
    <rPh sb="0" eb="2">
      <t>ナイブ</t>
    </rPh>
    <rPh sb="8" eb="10">
      <t>コウゲキ</t>
    </rPh>
    <rPh sb="11" eb="12">
      <t>ア</t>
    </rPh>
    <rPh sb="15" eb="16">
      <t>テキ</t>
    </rPh>
    <rPh sb="17" eb="21">
      <t>マイカイトウロク</t>
    </rPh>
    <rPh sb="33" eb="34">
      <t>テキ</t>
    </rPh>
    <rPh sb="35" eb="36">
      <t>ア</t>
    </rPh>
    <rPh sb="39" eb="41">
      <t>バアイ</t>
    </rPh>
    <phoneticPr fontId="1"/>
  </si>
  <si>
    <t>必殺技の時用に敵のやられエフェクトの白色を作る</t>
    <rPh sb="0" eb="3">
      <t>ヒッサツワザ</t>
    </rPh>
    <rPh sb="4" eb="5">
      <t>トキ</t>
    </rPh>
    <rPh sb="5" eb="6">
      <t>ヨウ</t>
    </rPh>
    <rPh sb="7" eb="8">
      <t>テキ</t>
    </rPh>
    <rPh sb="18" eb="20">
      <t>シロイロ</t>
    </rPh>
    <rPh sb="21" eb="22">
      <t>ツク</t>
    </rPh>
    <phoneticPr fontId="1"/>
  </si>
  <si>
    <t>スキル技のエフェクトを残り二つにつける</t>
    <rPh sb="3" eb="4">
      <t>ワザ</t>
    </rPh>
    <rPh sb="11" eb="12">
      <t>ノコ</t>
    </rPh>
    <rPh sb="13" eb="14">
      <t>フタ</t>
    </rPh>
    <phoneticPr fontId="1"/>
  </si>
  <si>
    <t>ヒットストップなどを外部ファイル化して、ヒットストップ、カメラシェイクするかを業ごとに決める</t>
    <rPh sb="10" eb="12">
      <t>ガイブ</t>
    </rPh>
    <rPh sb="16" eb="17">
      <t>カ</t>
    </rPh>
    <rPh sb="39" eb="40">
      <t>ワザ</t>
    </rPh>
    <rPh sb="43" eb="44">
      <t>キ</t>
    </rPh>
    <phoneticPr fontId="1"/>
  </si>
  <si>
    <t>タイトルシーン、リザルトシーンなどをしっかりとつける</t>
    <phoneticPr fontId="1"/>
  </si>
  <si>
    <t>そのあとは音、SEのベータ作業</t>
    <rPh sb="5" eb="6">
      <t>オト</t>
    </rPh>
    <rPh sb="13" eb="15">
      <t>サギョウ</t>
    </rPh>
    <phoneticPr fontId="1"/>
  </si>
  <si>
    <t>OnTrigger機能の追加完了</t>
    <rPh sb="9" eb="11">
      <t>キノウ</t>
    </rPh>
    <rPh sb="12" eb="16">
      <t>ツイカカンリョウ</t>
    </rPh>
    <phoneticPr fontId="1"/>
  </si>
  <si>
    <t>だいぶさぼって進捗おそい</t>
    <rPh sb="7" eb="9">
      <t>シンチョク</t>
    </rPh>
    <phoneticPr fontId="1"/>
  </si>
  <si>
    <t>インターンもあるしやばいよ</t>
    <phoneticPr fontId="1"/>
  </si>
  <si>
    <t>次は、その最後の締めをした後、残りエフェクトの追加をする</t>
    <rPh sb="0" eb="1">
      <t>ツギ</t>
    </rPh>
    <rPh sb="5" eb="7">
      <t>サイゴ</t>
    </rPh>
    <rPh sb="8" eb="9">
      <t>シ</t>
    </rPh>
    <rPh sb="13" eb="14">
      <t>アト</t>
    </rPh>
    <rPh sb="15" eb="16">
      <t>ノコ</t>
    </rPh>
    <rPh sb="23" eb="25">
      <t>ツイカ</t>
    </rPh>
    <phoneticPr fontId="1"/>
  </si>
  <si>
    <t>エリア制限実装完了</t>
    <rPh sb="3" eb="5">
      <t>セイゲン</t>
    </rPh>
    <rPh sb="5" eb="7">
      <t>ジッソウ</t>
    </rPh>
    <rPh sb="7" eb="9">
      <t>カンリョウ</t>
    </rPh>
    <phoneticPr fontId="1"/>
  </si>
  <si>
    <t>ついgは、エフェクトをいろいろ追加するために、エフェクトマネージャーを作る</t>
    <rPh sb="15" eb="17">
      <t>ツイカ</t>
    </rPh>
    <rPh sb="35" eb="36">
      <t>ツク</t>
    </rPh>
    <phoneticPr fontId="1"/>
  </si>
  <si>
    <t>スキル技のエフェクトを作る、血殺の時のエフェクトを作る</t>
    <rPh sb="3" eb="4">
      <t>ワザ</t>
    </rPh>
    <rPh sb="11" eb="12">
      <t>ツク</t>
    </rPh>
    <rPh sb="14" eb="16">
      <t>チサツ</t>
    </rPh>
    <rPh sb="17" eb="18">
      <t>トキ</t>
    </rPh>
    <rPh sb="25" eb="26">
      <t>ツク</t>
    </rPh>
    <phoneticPr fontId="1"/>
  </si>
  <si>
    <t>タイトルシーン、リザルトシーンをつくる</t>
    <phoneticPr fontId="1"/>
  </si>
  <si>
    <t>時間が余ったらボス、チュートリアルを作れる</t>
    <rPh sb="0" eb="2">
      <t>ジカン</t>
    </rPh>
    <rPh sb="3" eb="4">
      <t>アマ</t>
    </rPh>
    <rPh sb="18" eb="19">
      <t>ツク</t>
    </rPh>
    <phoneticPr fontId="1"/>
  </si>
  <si>
    <t>エフェクトの修正は恋先輩に手伝ってもらう</t>
    <rPh sb="6" eb="8">
      <t>シュウセイ</t>
    </rPh>
    <rPh sb="9" eb="10">
      <t>レン</t>
    </rPh>
    <rPh sb="10" eb="12">
      <t>センパイ</t>
    </rPh>
    <rPh sb="13" eb="15">
      <t>テツダ</t>
    </rPh>
    <phoneticPr fontId="1"/>
  </si>
  <si>
    <t>エフェクトマネージャー作成終了、スキルエフェクト、血殺のエフェクトも作り終えた</t>
    <rPh sb="11" eb="15">
      <t>サクセイシュウリョウ</t>
    </rPh>
    <rPh sb="25" eb="27">
      <t>チサツ</t>
    </rPh>
    <rPh sb="34" eb="35">
      <t>ツク</t>
    </rPh>
    <rPh sb="36" eb="37">
      <t>オ</t>
    </rPh>
    <phoneticPr fontId="1"/>
  </si>
  <si>
    <t>クオリティが鬼微妙</t>
    <rPh sb="6" eb="9">
      <t>オニビミョウ</t>
    </rPh>
    <phoneticPr fontId="1"/>
  </si>
  <si>
    <t>次はタイトルシーンを作る</t>
    <rPh sb="0" eb="1">
      <t>ツギ</t>
    </rPh>
    <rPh sb="10" eb="11">
      <t>ツク</t>
    </rPh>
    <phoneticPr fontId="1"/>
  </si>
  <si>
    <t>なにつくろうとしてたかちょっとしかおもいだせない</t>
    <phoneticPr fontId="1"/>
  </si>
  <si>
    <t>今のところペルソナ風</t>
    <rPh sb="0" eb="1">
      <t>イマ</t>
    </rPh>
    <rPh sb="9" eb="10">
      <t>フウ</t>
    </rPh>
    <phoneticPr fontId="1"/>
  </si>
  <si>
    <t>タイトルシーン作成手順</t>
    <rPh sb="7" eb="9">
      <t>サクセイ</t>
    </rPh>
    <rPh sb="9" eb="11">
      <t>テジュン</t>
    </rPh>
    <phoneticPr fontId="1"/>
  </si>
  <si>
    <t>キャラを表示→キャラをフレームでコマンドで動かす→カメラを動かす→シェーダーでペルソナ風にする</t>
    <rPh sb="4" eb="6">
      <t>ヒョウジ</t>
    </rPh>
    <rPh sb="21" eb="22">
      <t>ウゴ</t>
    </rPh>
    <rPh sb="29" eb="30">
      <t>ウゴ</t>
    </rPh>
    <rPh sb="43" eb="44">
      <t>フウ</t>
    </rPh>
    <phoneticPr fontId="1"/>
  </si>
  <si>
    <t>フレームで動かす仕組みまでできた。次は、キャラを動かすところ</t>
    <rPh sb="5" eb="6">
      <t>ウゴ</t>
    </rPh>
    <rPh sb="8" eb="10">
      <t>シク</t>
    </rPh>
    <rPh sb="17" eb="18">
      <t>ツギ</t>
    </rPh>
    <rPh sb="24" eb="25">
      <t>ウゴ</t>
    </rPh>
    <phoneticPr fontId="1"/>
  </si>
  <si>
    <t>カメラとオブジェクトとの当たり判定をしないといけない</t>
    <rPh sb="12" eb="13">
      <t>ア</t>
    </rPh>
    <rPh sb="15" eb="17">
      <t>ハンテイ</t>
    </rPh>
    <phoneticPr fontId="1"/>
  </si>
  <si>
    <t>キャラを動かすところまでできたけど、モーションがダサすぎてむずそう</t>
    <rPh sb="4" eb="5">
      <t>ウゴ</t>
    </rPh>
    <phoneticPr fontId="1"/>
  </si>
  <si>
    <t>ゼンゼロのような足だけ移す→剣を拾う→タイトル</t>
    <rPh sb="8" eb="9">
      <t>アシ</t>
    </rPh>
    <rPh sb="11" eb="12">
      <t>ウツ</t>
    </rPh>
    <rPh sb="14" eb="15">
      <t>ケン</t>
    </rPh>
    <rPh sb="16" eb="17">
      <t>ヒロ</t>
    </rPh>
    <phoneticPr fontId="1"/>
  </si>
  <si>
    <t>敵を倒したりしてもいいかも</t>
    <rPh sb="0" eb="1">
      <t>テキ</t>
    </rPh>
    <rPh sb="2" eb="3">
      <t>タオ</t>
    </rPh>
    <phoneticPr fontId="1"/>
  </si>
  <si>
    <t>×</t>
    <phoneticPr fontId="1"/>
  </si>
  <si>
    <t>歩く→剣にもたれかかる→スタートしたら剣にいろいろ選択肢が出てくる→ゲームシーンへ</t>
    <rPh sb="0" eb="1">
      <t>アル</t>
    </rPh>
    <rPh sb="3" eb="4">
      <t>ケン</t>
    </rPh>
    <rPh sb="19" eb="20">
      <t>ケン</t>
    </rPh>
    <rPh sb="25" eb="28">
      <t>センタクシ</t>
    </rPh>
    <rPh sb="29" eb="30">
      <t>デ</t>
    </rPh>
    <phoneticPr fontId="1"/>
  </si>
  <si>
    <t>〇</t>
    <phoneticPr fontId="1"/>
  </si>
  <si>
    <t>剣を映す→足を映す→足からぜんたいへ→剣を取る→走る→キャラが止まる→タイトルを映す</t>
    <rPh sb="0" eb="1">
      <t>ケン</t>
    </rPh>
    <rPh sb="2" eb="3">
      <t>ウツ</t>
    </rPh>
    <rPh sb="5" eb="6">
      <t>アシ</t>
    </rPh>
    <rPh sb="7" eb="8">
      <t>ウツ</t>
    </rPh>
    <rPh sb="10" eb="11">
      <t>アシ</t>
    </rPh>
    <rPh sb="19" eb="20">
      <t>ケン</t>
    </rPh>
    <rPh sb="21" eb="22">
      <t>ト</t>
    </rPh>
    <rPh sb="24" eb="25">
      <t>ハシ</t>
    </rPh>
    <rPh sb="31" eb="32">
      <t>ト</t>
    </rPh>
    <rPh sb="40" eb="41">
      <t>ウツ</t>
    </rPh>
    <phoneticPr fontId="1"/>
  </si>
  <si>
    <t>ゼンゼロ風</t>
    <rPh sb="4" eb="5">
      <t>フウ</t>
    </rPh>
    <phoneticPr fontId="1"/>
  </si>
  <si>
    <t>キャラがとまった後、カメラを動かして、世界を見せる→タイトルロゴ</t>
    <rPh sb="8" eb="9">
      <t>アト</t>
    </rPh>
    <rPh sb="14" eb="15">
      <t>ウゴ</t>
    </rPh>
    <rPh sb="19" eb="21">
      <t>セカイ</t>
    </rPh>
    <rPh sb="22" eb="23">
      <t>ミ</t>
    </rPh>
    <phoneticPr fontId="1"/>
  </si>
  <si>
    <t>後は、キャラクターのモーションに合わせて剣を表示、非表示などをさせる</t>
    <rPh sb="0" eb="1">
      <t>アト</t>
    </rPh>
    <rPh sb="16" eb="17">
      <t>ア</t>
    </rPh>
    <rPh sb="20" eb="21">
      <t>ケン</t>
    </rPh>
    <rPh sb="22" eb="24">
      <t>ヒョウジ</t>
    </rPh>
    <rPh sb="25" eb="28">
      <t>ヒヒョウジ</t>
    </rPh>
    <phoneticPr fontId="1"/>
  </si>
  <si>
    <t>次は、ステージを作って、それらをうまく組み合わせて作る感じ</t>
    <rPh sb="0" eb="1">
      <t>ツギ</t>
    </rPh>
    <rPh sb="8" eb="9">
      <t>ツク</t>
    </rPh>
    <rPh sb="19" eb="20">
      <t>ク</t>
    </rPh>
    <rPh sb="21" eb="22">
      <t>ア</t>
    </rPh>
    <rPh sb="25" eb="26">
      <t>ツク</t>
    </rPh>
    <rPh sb="27" eb="28">
      <t>カン</t>
    </rPh>
    <phoneticPr fontId="1"/>
  </si>
  <si>
    <t>ステージ作りまで終わった、あとは白い線を出して疾走感をつけるだけ</t>
    <rPh sb="4" eb="5">
      <t>ツク</t>
    </rPh>
    <rPh sb="8" eb="9">
      <t>オ</t>
    </rPh>
    <rPh sb="16" eb="17">
      <t>シロ</t>
    </rPh>
    <rPh sb="18" eb="19">
      <t>セン</t>
    </rPh>
    <rPh sb="20" eb="21">
      <t>ダ</t>
    </rPh>
    <rPh sb="23" eb="25">
      <t>シッソウ</t>
    </rPh>
    <rPh sb="25" eb="26">
      <t>カン</t>
    </rPh>
    <phoneticPr fontId="1"/>
  </si>
  <si>
    <t>ネズミとぶつかったら血殺！って出す</t>
    <rPh sb="10" eb="11">
      <t>チ</t>
    </rPh>
    <rPh sb="11" eb="12">
      <t>サツ</t>
    </rPh>
    <rPh sb="15" eb="16">
      <t>ダ</t>
    </rPh>
    <phoneticPr fontId="1"/>
  </si>
  <si>
    <t>タイトルシーンいったん完成、次は、リザルト画面</t>
    <rPh sb="11" eb="13">
      <t>カンセイ</t>
    </rPh>
    <rPh sb="14" eb="15">
      <t>ツギ</t>
    </rPh>
    <rPh sb="21" eb="23">
      <t>ガメン</t>
    </rPh>
    <phoneticPr fontId="1"/>
  </si>
  <si>
    <t>リザルト画面案</t>
    <rPh sb="4" eb="6">
      <t>ガメン</t>
    </rPh>
    <rPh sb="6" eb="7">
      <t>アン</t>
    </rPh>
    <phoneticPr fontId="1"/>
  </si>
  <si>
    <t>ゲームシーンのラストヒットを血殺のみで倒せるようにする→血殺からのリザルト画面演出</t>
    <rPh sb="14" eb="16">
      <t>チサツ</t>
    </rPh>
    <rPh sb="19" eb="20">
      <t>タオ</t>
    </rPh>
    <rPh sb="28" eb="30">
      <t>チサツ</t>
    </rPh>
    <rPh sb="37" eb="39">
      <t>ガメン</t>
    </rPh>
    <rPh sb="39" eb="41">
      <t>エンシュツ</t>
    </rPh>
    <phoneticPr fontId="1"/>
  </si>
  <si>
    <t>スコアが出る→血殺→スコア変更→ペルソナみたいな画角で終わり</t>
    <rPh sb="4" eb="5">
      <t>デ</t>
    </rPh>
    <rPh sb="7" eb="9">
      <t>チサツ</t>
    </rPh>
    <rPh sb="13" eb="15">
      <t>ヘンコウ</t>
    </rPh>
    <rPh sb="24" eb="26">
      <t>ガカク</t>
    </rPh>
    <rPh sb="27" eb="28">
      <t>オ</t>
    </rPh>
    <phoneticPr fontId="1"/>
  </si>
  <si>
    <t>リザルト画面→時間→スコアを表示</t>
    <rPh sb="4" eb="6">
      <t>ガメン</t>
    </rPh>
    <rPh sb="7" eb="9">
      <t>ジカン</t>
    </rPh>
    <rPh sb="14" eb="16">
      <t>ヒョウジ</t>
    </rPh>
    <phoneticPr fontId="1"/>
  </si>
  <si>
    <t>Sだのそんな感じのやつ</t>
    <rPh sb="6" eb="7">
      <t>カン</t>
    </rPh>
    <phoneticPr fontId="1"/>
  </si>
  <si>
    <t>リザルトはモデルを切るようにする</t>
    <rPh sb="9" eb="10">
      <t>キ</t>
    </rPh>
    <phoneticPr fontId="1"/>
  </si>
  <si>
    <t>スコアのモデルはダウンロードに作ったので、一旦、それを回転しながら表示させるなどをする</t>
    <rPh sb="15" eb="16">
      <t>ツク</t>
    </rPh>
    <rPh sb="21" eb="23">
      <t>イッタン</t>
    </rPh>
    <rPh sb="27" eb="29">
      <t>カイテン</t>
    </rPh>
    <rPh sb="33" eb="35">
      <t>ヒョウジ</t>
    </rPh>
    <phoneticPr fontId="1"/>
  </si>
  <si>
    <t>そのあと、切るアニメーションなどをして、モデルを切り崩すようにする</t>
    <rPh sb="5" eb="6">
      <t>キ</t>
    </rPh>
    <rPh sb="24" eb="25">
      <t>キ</t>
    </rPh>
    <rPh sb="26" eb="27">
      <t>クズ</t>
    </rPh>
    <phoneticPr fontId="1"/>
  </si>
  <si>
    <t>やること</t>
    <phoneticPr fontId="1"/>
  </si>
  <si>
    <t>リザルトシーンは触、学校でやった、キャラクターを赤単色で表示まで終わっている(あんまり進んでいないため、強硬してもよい</t>
    <rPh sb="8" eb="9">
      <t>サワ</t>
    </rPh>
    <rPh sb="10" eb="12">
      <t>ガッコウ</t>
    </rPh>
    <rPh sb="24" eb="25">
      <t>アカ</t>
    </rPh>
    <rPh sb="25" eb="27">
      <t>タンショク</t>
    </rPh>
    <rPh sb="28" eb="30">
      <t>ヒョウジ</t>
    </rPh>
    <rPh sb="32" eb="33">
      <t>オ</t>
    </rPh>
    <rPh sb="43" eb="44">
      <t>スス</t>
    </rPh>
    <rPh sb="52" eb="54">
      <t>キョウコウ</t>
    </rPh>
    <phoneticPr fontId="1"/>
  </si>
  <si>
    <t>ボスを作る、そのあとは、ゲームシーンでやることをする(バグ直しorポーズシーンの追加等)</t>
    <rPh sb="3" eb="4">
      <t>ツク</t>
    </rPh>
    <rPh sb="29" eb="30">
      <t>ナオ</t>
    </rPh>
    <rPh sb="40" eb="43">
      <t>ツイカトウ</t>
    </rPh>
    <phoneticPr fontId="1"/>
  </si>
  <si>
    <t>bossを作りたいなーー</t>
    <rPh sb="5" eb="6">
      <t>ツク</t>
    </rPh>
    <phoneticPr fontId="1"/>
  </si>
  <si>
    <t>bossの攻撃方法</t>
    <rPh sb="5" eb="9">
      <t>コウゲキホウホウ</t>
    </rPh>
    <phoneticPr fontId="1"/>
  </si>
  <si>
    <t>魔法近距離攻撃、魔法遠距離攻撃、雑魚敵召喚</t>
    <rPh sb="0" eb="2">
      <t>マホウ</t>
    </rPh>
    <rPh sb="2" eb="7">
      <t>キンキョリコウゲキ</t>
    </rPh>
    <rPh sb="8" eb="10">
      <t>マホウ</t>
    </rPh>
    <rPh sb="10" eb="15">
      <t>エンキョリコウゲキ</t>
    </rPh>
    <rPh sb="16" eb="18">
      <t>ザコ</t>
    </rPh>
    <rPh sb="18" eb="19">
      <t>テキ</t>
    </rPh>
    <rPh sb="19" eb="21">
      <t>ショウカン</t>
    </rPh>
    <phoneticPr fontId="1"/>
  </si>
  <si>
    <t>EnemySwordManと同じつくりのStatePatternは実装したから、今からするのは、攻撃の中身の実装をしていく、↑三つのやつ</t>
    <rPh sb="14" eb="15">
      <t>オナ</t>
    </rPh>
    <rPh sb="33" eb="35">
      <t>ジッソウ</t>
    </rPh>
    <rPh sb="40" eb="41">
      <t>イマ</t>
    </rPh>
    <rPh sb="48" eb="50">
      <t>コウゲキ</t>
    </rPh>
    <rPh sb="51" eb="53">
      <t>ナカミ</t>
    </rPh>
    <rPh sb="54" eb="56">
      <t>ジッソウ</t>
    </rPh>
    <rPh sb="63" eb="64">
      <t>ミッ</t>
    </rPh>
    <phoneticPr fontId="1"/>
  </si>
  <si>
    <t>そのあと、それら攻撃の当たり判定を生成する仕組み、そのあと、エフェクト制作</t>
    <rPh sb="8" eb="10">
      <t>コウゲキ</t>
    </rPh>
    <rPh sb="11" eb="12">
      <t>ア</t>
    </rPh>
    <rPh sb="14" eb="15">
      <t>ハン</t>
    </rPh>
    <rPh sb="17" eb="19">
      <t>セイセイ</t>
    </rPh>
    <rPh sb="21" eb="23">
      <t>シク</t>
    </rPh>
    <rPh sb="35" eb="37">
      <t>セイサク</t>
    </rPh>
    <phoneticPr fontId="1"/>
  </si>
  <si>
    <t>そのあと、でかいからカメラをいろいろしたりとかかなー</t>
    <phoneticPr fontId="1"/>
  </si>
  <si>
    <t>遠距離攻撃、いったん完成</t>
    <rPh sb="0" eb="5">
      <t>エンキョリコウゲキ</t>
    </rPh>
    <rPh sb="10" eb="12">
      <t>カンセイ</t>
    </rPh>
    <phoneticPr fontId="1"/>
  </si>
  <si>
    <t>次は、近距離攻撃</t>
    <rPh sb="0" eb="1">
      <t>ツギ</t>
    </rPh>
    <rPh sb="3" eb="8">
      <t>キンキョリコウゲキ</t>
    </rPh>
    <phoneticPr fontId="1"/>
  </si>
  <si>
    <t>近距離も、雑魚敵召喚も終わった</t>
    <rPh sb="0" eb="3">
      <t>キンキョリ</t>
    </rPh>
    <rPh sb="5" eb="10">
      <t>ザコテキショウカン</t>
    </rPh>
    <rPh sb="11" eb="12">
      <t>オ</t>
    </rPh>
    <phoneticPr fontId="1"/>
  </si>
  <si>
    <t>後は、ボスを丁寧に動かす、出現させる、スタンステート、ラストヒット演出って感じ</t>
    <rPh sb="0" eb="1">
      <t>アト</t>
    </rPh>
    <rPh sb="6" eb="8">
      <t>テイネイ</t>
    </rPh>
    <rPh sb="9" eb="10">
      <t>ウゴ</t>
    </rPh>
    <rPh sb="13" eb="15">
      <t>シュツゲン</t>
    </rPh>
    <rPh sb="33" eb="35">
      <t>エンシュツ</t>
    </rPh>
    <rPh sb="37" eb="38">
      <t>カン</t>
    </rPh>
    <phoneticPr fontId="1"/>
  </si>
  <si>
    <t>音をだす</t>
    <rPh sb="0" eb="1">
      <t>オト</t>
    </rPh>
    <phoneticPr fontId="1"/>
  </si>
  <si>
    <t>GameOverSceneの実装がまだだった</t>
    <rPh sb="14" eb="16">
      <t>ジッソウ</t>
    </rPh>
    <phoneticPr fontId="1"/>
  </si>
  <si>
    <t>残りタスク洗い出し</t>
    <rPh sb="0" eb="1">
      <t>ノコ</t>
    </rPh>
    <rPh sb="5" eb="6">
      <t>アラ</t>
    </rPh>
    <rPh sb="7" eb="8">
      <t>ダ</t>
    </rPh>
    <phoneticPr fontId="1"/>
  </si>
  <si>
    <t>ボスを動かす</t>
    <rPh sb="3" eb="4">
      <t>ウゴ</t>
    </rPh>
    <phoneticPr fontId="1"/>
  </si>
  <si>
    <t>ボス用の血殺を作る(最後の)</t>
    <rPh sb="2" eb="3">
      <t>ヨウ</t>
    </rPh>
    <rPh sb="4" eb="6">
      <t>チサツ</t>
    </rPh>
    <rPh sb="7" eb="8">
      <t>ツク</t>
    </rPh>
    <rPh sb="10" eb="12">
      <t>サイゴ</t>
    </rPh>
    <phoneticPr fontId="1"/>
  </si>
  <si>
    <t>boss登場時のカメラ演出</t>
    <rPh sb="4" eb="7">
      <t>トウジョウジ</t>
    </rPh>
    <rPh sb="11" eb="13">
      <t>エンシュツ</t>
    </rPh>
    <phoneticPr fontId="1"/>
  </si>
  <si>
    <t>UIをしっかりしたのに変える</t>
    <rPh sb="11" eb="12">
      <t>カ</t>
    </rPh>
    <phoneticPr fontId="1"/>
  </si>
  <si>
    <t>ポーズシーンを作る</t>
    <phoneticPr fontId="1"/>
  </si>
  <si>
    <t>ポーズシーンを作る(LT押したら、ボタンガイドが出るとかでも全然いい)</t>
    <rPh sb="12" eb="13">
      <t>オ</t>
    </rPh>
    <rPh sb="24" eb="25">
      <t>デ</t>
    </rPh>
    <rPh sb="30" eb="32">
      <t>ゼンゼン</t>
    </rPh>
    <phoneticPr fontId="1"/>
  </si>
  <si>
    <t>音をつける</t>
    <rPh sb="0" eb="1">
      <t>オト</t>
    </rPh>
    <phoneticPr fontId="1"/>
  </si>
  <si>
    <t>ゲームオーバーシーン(死でいい)</t>
    <rPh sb="11" eb="12">
      <t>シ</t>
    </rPh>
    <phoneticPr fontId="1"/>
  </si>
  <si>
    <t>C</t>
    <phoneticPr fontId="1"/>
  </si>
  <si>
    <t>S</t>
    <phoneticPr fontId="1"/>
  </si>
  <si>
    <t>A</t>
    <phoneticPr fontId="1"/>
  </si>
  <si>
    <t>3日</t>
    <rPh sb="1" eb="2">
      <t>ニチ</t>
    </rPh>
    <phoneticPr fontId="1"/>
  </si>
  <si>
    <t>回避を消す</t>
    <rPh sb="0" eb="2">
      <t>カイヒ</t>
    </rPh>
    <rPh sb="3" eb="4">
      <t>ケ</t>
    </rPh>
    <phoneticPr fontId="1"/>
  </si>
  <si>
    <t>ボスステート</t>
    <phoneticPr fontId="1"/>
  </si>
  <si>
    <t>Idle</t>
    <phoneticPr fontId="1"/>
  </si>
  <si>
    <t>Attack</t>
    <phoneticPr fontId="1"/>
  </si>
  <si>
    <t>Stun</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</si>
</sst>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8">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5">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10"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SUM(作業工数見積もり!E3:E78)</f>
        <v>192</v>
      </c>
    </row>
    <row r="4" spans="2:5">
      <c r="B4" s="5" t="s">
        <v>6</v>
      </c>
      <c r="C4">
        <f>SUMIF(作業工数見積もり!G3:G23,"完了",作業工数見積もり!E3:E23)</f>
        <v>25</v>
      </c>
      <c r="D4" t="s">
        <v>7</v>
      </c>
    </row>
    <row r="5" spans="2:5">
      <c r="B5" s="6" t="s">
        <v>8</v>
      </c>
      <c r="C5" s="2">
        <f ca="1">NETWORKDAYS(C6,C7)</f>
        <v>467</v>
      </c>
      <c r="D5" s="3">
        <f ca="1" xml:space="preserve"> C4 / C5</f>
        <v>5.353319057815846E-2</v>
      </c>
    </row>
    <row r="6" spans="2:5">
      <c r="B6" s="7" t="s">
        <v>9</v>
      </c>
      <c r="C6" s="1">
        <f>DATE(2024,11,7)</f>
        <v>45603</v>
      </c>
    </row>
    <row r="7" spans="2:5">
      <c r="B7" s="8" t="s">
        <v>11</v>
      </c>
      <c r="C7" s="1">
        <f ca="1">TODAY()</f>
        <v>46257</v>
      </c>
    </row>
    <row r="9" spans="2:5">
      <c r="D9" t="s">
        <v>12</v>
      </c>
      <c r="E9" t="s">
        <v>13</v>
      </c>
    </row>
    <row r="10" spans="2:5">
      <c r="B10" s="4" t="s">
        <v>15</v>
      </c>
      <c r="C10" s="1">
        <f>DATE(2024,12,20)</f>
        <v>45646</v>
      </c>
      <c r="D10" s="2">
        <f ca="1">NETWORKDAYS(TODAY(),C10)</f>
        <v>-436</v>
      </c>
      <c r="E10" s="3">
        <f ca="1">($C$3 - $C$4) / D10</f>
        <v>-0.3830275229357798</v>
      </c>
    </row>
    <row r="11" spans="2:5">
      <c r="B11" s="9" t="s">
        <v>16</v>
      </c>
      <c r="C11" s="1">
        <f>DATE(2025,1,17)</f>
        <v>45674</v>
      </c>
      <c r="D11" s="2">
        <f ca="1">NETWORKDAYS(TODAY(),C11)</f>
        <v>-416</v>
      </c>
      <c r="E11" s="3">
        <f ca="1">($C$3 - $C$4) / D11</f>
        <v>-0.40144230769230771</v>
      </c>
    </row>
    <row r="12" spans="2:5">
      <c r="B12" s="6" t="s">
        <v>17</v>
      </c>
      <c r="C12" s="1">
        <f>DATE(2025,2,3)</f>
        <v>45691</v>
      </c>
      <c r="D12" s="2">
        <f ca="1">NETWORKDAYS(TODAY(),C12)</f>
        <v>-405</v>
      </c>
      <c r="E12" s="3">
        <f ca="1">($C$3 - $C$4) / D12</f>
        <v>-0.4123456790123457</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9"/>
  <sheetViews>
    <sheetView topLeftCell="A13" zoomScale="85" zoomScaleNormal="85" workbookViewId="0">
      <selection activeCell="B59" sqref="B59"/>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57</v>
      </c>
      <c r="I3" s="25" t="s">
        <v>61</v>
      </c>
      <c r="J3" s="10">
        <f>SUM(J4,J5,J6)</f>
        <v>192</v>
      </c>
      <c r="K3" s="10">
        <f>SUMIFS(E3:E57,G3:G57,"未着手")</f>
        <v>101</v>
      </c>
      <c r="L3" s="10">
        <f>SUM(F3:F43)</f>
        <v>45</v>
      </c>
      <c r="M3" s="10">
        <f ca="1">INT(J11 - TODAY())</f>
        <v>8</v>
      </c>
      <c r="N3" s="10">
        <f ca="1">K3/M3</f>
        <v>12.625</v>
      </c>
    </row>
    <row r="4" spans="1:14" ht="26.25" hidden="1" customHeight="1">
      <c r="A4" s="17" t="s">
        <v>35</v>
      </c>
      <c r="B4" s="10" t="s">
        <v>48</v>
      </c>
      <c r="C4" s="16" t="s">
        <v>14</v>
      </c>
      <c r="D4" s="16" t="s">
        <v>10</v>
      </c>
      <c r="E4" s="16">
        <v>0</v>
      </c>
      <c r="G4" s="16" t="s">
        <v>39</v>
      </c>
      <c r="I4" s="26" t="s">
        <v>28</v>
      </c>
      <c r="J4" s="29">
        <f>SUMIF(D3:D57,I4,E3:E57)</f>
        <v>94</v>
      </c>
      <c r="K4" s="10">
        <f>SUMIFS(E3:E57,G3:G57,"未着手",D3:D57,I4)</f>
        <v>27</v>
      </c>
      <c r="L4" s="10">
        <f>SUMIFS(F3:F43,D3:D43,I4)</f>
        <v>45</v>
      </c>
      <c r="M4" s="10">
        <f ca="1">INT(J12-TODAY())</f>
        <v>-37</v>
      </c>
      <c r="N4" s="10">
        <f ca="1">J4/M4</f>
        <v>-2.5405405405405403</v>
      </c>
    </row>
    <row r="5" spans="1:14" ht="16.5" hidden="1" customHeight="1">
      <c r="A5" s="17" t="s">
        <v>35</v>
      </c>
      <c r="B5" s="10" t="s">
        <v>49</v>
      </c>
      <c r="C5" s="16" t="s">
        <v>14</v>
      </c>
      <c r="D5" s="16" t="s">
        <v>10</v>
      </c>
      <c r="E5" s="16">
        <v>0</v>
      </c>
      <c r="G5" s="16" t="s">
        <v>39</v>
      </c>
      <c r="I5" s="27" t="s">
        <v>0</v>
      </c>
      <c r="J5" s="29">
        <f>SUMIF(D3:D57,I5,E3:E57)</f>
        <v>82</v>
      </c>
      <c r="K5" s="10">
        <f>SUMIFS(E3:E57,G3:G57,"未着手",D3:D57,I5)</f>
        <v>59</v>
      </c>
      <c r="L5" s="10">
        <f>SUMIFS(F4:F49,D4:D49,I5)</f>
        <v>0</v>
      </c>
      <c r="M5" s="10">
        <f t="shared" ref="M5:M6" ca="1" si="0">INT(J13-TODAY())</f>
        <v>-13</v>
      </c>
      <c r="N5" s="10">
        <f t="shared" ref="N5:N6" ca="1" si="1">J5/M5</f>
        <v>-6.3076923076923075</v>
      </c>
    </row>
    <row r="6" spans="1:14" ht="19.5" hidden="1" customHeight="1">
      <c r="A6" s="17" t="s">
        <v>35</v>
      </c>
      <c r="B6" s="10" t="s">
        <v>36</v>
      </c>
      <c r="C6" s="16" t="s">
        <v>14</v>
      </c>
      <c r="D6" s="16" t="s">
        <v>10</v>
      </c>
      <c r="E6" s="16">
        <v>0</v>
      </c>
      <c r="G6" s="16" t="s">
        <v>39</v>
      </c>
      <c r="I6" s="28" t="s">
        <v>29</v>
      </c>
      <c r="J6" s="29">
        <f>SUMIF(D3:D57,I6,E3:E57)</f>
        <v>16</v>
      </c>
      <c r="K6" s="10">
        <f>SUMIFS(E3:E57,G3:G57,"未着手",D3:D57,I6)</f>
        <v>15</v>
      </c>
      <c r="L6" s="10">
        <f>SUMIFS(F5:F49,D5:D49,I6)</f>
        <v>1</v>
      </c>
      <c r="M6" s="10">
        <f t="shared" ca="1" si="0"/>
        <v>4</v>
      </c>
      <c r="N6" s="10">
        <f t="shared" ca="1" si="1"/>
        <v>4</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F9" s="16">
        <v>2</v>
      </c>
      <c r="G9" s="16" t="s">
        <v>57</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F11" s="16" t="s">
        <v>480</v>
      </c>
      <c r="G11" s="16" t="s">
        <v>481</v>
      </c>
      <c r="I11" s="10" t="s">
        <v>295</v>
      </c>
      <c r="J11" s="50">
        <v>46265</v>
      </c>
    </row>
    <row r="12" spans="1:14">
      <c r="A12" s="19" t="s">
        <v>44</v>
      </c>
      <c r="B12" s="10" t="s">
        <v>254</v>
      </c>
      <c r="C12" s="16" t="s">
        <v>257</v>
      </c>
      <c r="D12" s="16" t="s">
        <v>18</v>
      </c>
      <c r="E12" s="16">
        <v>12</v>
      </c>
      <c r="F12" s="16">
        <v>4</v>
      </c>
      <c r="G12" s="16" t="s">
        <v>57</v>
      </c>
      <c r="I12" s="10" t="s">
        <v>296</v>
      </c>
      <c r="J12" s="51">
        <v>46220</v>
      </c>
    </row>
    <row r="13" spans="1:14">
      <c r="A13" s="19" t="s">
        <v>44</v>
      </c>
      <c r="B13" s="10" t="s">
        <v>255</v>
      </c>
      <c r="C13" s="16" t="s">
        <v>5</v>
      </c>
      <c r="D13" s="16" t="s">
        <v>18</v>
      </c>
      <c r="E13" s="16">
        <v>1</v>
      </c>
      <c r="F13" s="16">
        <v>1</v>
      </c>
      <c r="G13" s="16" t="s">
        <v>57</v>
      </c>
      <c r="I13" s="10" t="s">
        <v>297</v>
      </c>
      <c r="J13" s="51">
        <v>46244</v>
      </c>
    </row>
    <row r="14" spans="1:14">
      <c r="A14" s="19" t="s">
        <v>44</v>
      </c>
      <c r="B14" s="10" t="s">
        <v>258</v>
      </c>
      <c r="C14" s="16" t="s">
        <v>5</v>
      </c>
      <c r="D14" s="16" t="s">
        <v>18</v>
      </c>
      <c r="E14" s="16">
        <v>2</v>
      </c>
      <c r="G14" s="16" t="s">
        <v>57</v>
      </c>
      <c r="I14" s="10" t="s">
        <v>298</v>
      </c>
      <c r="J14" s="51">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F16" s="16" t="s">
        <v>480</v>
      </c>
      <c r="G16" s="16" t="s">
        <v>39</v>
      </c>
    </row>
    <row r="17" spans="1:7">
      <c r="A17" s="19" t="s">
        <v>44</v>
      </c>
      <c r="B17" s="10" t="s">
        <v>386</v>
      </c>
      <c r="C17" s="16" t="s">
        <v>5</v>
      </c>
      <c r="D17" s="16" t="s">
        <v>18</v>
      </c>
      <c r="E17" s="16">
        <v>1</v>
      </c>
      <c r="F17" s="16">
        <v>1</v>
      </c>
      <c r="G17" s="16" t="s">
        <v>57</v>
      </c>
    </row>
    <row r="18" spans="1:7">
      <c r="A18" s="19" t="s">
        <v>44</v>
      </c>
      <c r="B18" s="10" t="s">
        <v>307</v>
      </c>
      <c r="C18" s="16" t="s">
        <v>5</v>
      </c>
      <c r="D18" s="16" t="s">
        <v>18</v>
      </c>
      <c r="E18" s="16">
        <v>2</v>
      </c>
      <c r="F18" s="16">
        <v>2</v>
      </c>
      <c r="G18" s="16" t="s">
        <v>57</v>
      </c>
    </row>
    <row r="19" spans="1:7">
      <c r="A19" s="19" t="s">
        <v>44</v>
      </c>
      <c r="B19" s="10" t="s">
        <v>334</v>
      </c>
      <c r="C19" s="16" t="s">
        <v>5</v>
      </c>
      <c r="D19" s="16" t="s">
        <v>18</v>
      </c>
      <c r="G19" s="16" t="s">
        <v>57</v>
      </c>
    </row>
    <row r="20" spans="1:7">
      <c r="A20" s="19" t="s">
        <v>44</v>
      </c>
      <c r="B20" s="10" t="s">
        <v>335</v>
      </c>
      <c r="C20" s="16" t="s">
        <v>5</v>
      </c>
      <c r="D20" s="16" t="s">
        <v>18</v>
      </c>
      <c r="G20" s="16" t="s">
        <v>57</v>
      </c>
    </row>
    <row r="21" spans="1:7">
      <c r="A21" s="19" t="s">
        <v>44</v>
      </c>
      <c r="B21" s="10" t="s">
        <v>260</v>
      </c>
      <c r="C21" s="16" t="s">
        <v>5</v>
      </c>
      <c r="D21" s="16" t="s">
        <v>18</v>
      </c>
      <c r="E21" s="16">
        <v>8</v>
      </c>
      <c r="G21" s="16" t="s">
        <v>306</v>
      </c>
    </row>
    <row r="22" spans="1:7">
      <c r="A22" s="20" t="s">
        <v>46</v>
      </c>
      <c r="B22" s="10" t="s">
        <v>261</v>
      </c>
      <c r="C22" s="16" t="s">
        <v>5</v>
      </c>
      <c r="D22" s="16" t="s">
        <v>18</v>
      </c>
      <c r="E22" s="16">
        <v>3</v>
      </c>
      <c r="F22" s="16">
        <v>3</v>
      </c>
      <c r="G22" s="16" t="s">
        <v>57</v>
      </c>
    </row>
    <row r="23" spans="1:7">
      <c r="A23" s="20" t="s">
        <v>46</v>
      </c>
      <c r="B23" s="10" t="s">
        <v>262</v>
      </c>
      <c r="C23" s="16" t="s">
        <v>257</v>
      </c>
      <c r="D23" s="16" t="s">
        <v>18</v>
      </c>
      <c r="E23" s="16">
        <v>5</v>
      </c>
      <c r="G23" s="16" t="s">
        <v>39</v>
      </c>
    </row>
    <row r="24" spans="1:7">
      <c r="A24" s="20" t="s">
        <v>46</v>
      </c>
      <c r="B24" s="10" t="s">
        <v>274</v>
      </c>
      <c r="C24" s="16" t="s">
        <v>257</v>
      </c>
      <c r="D24" s="16" t="s">
        <v>18</v>
      </c>
      <c r="E24" s="16">
        <v>6</v>
      </c>
      <c r="G24" s="16" t="s">
        <v>39</v>
      </c>
    </row>
    <row r="25" spans="1:7">
      <c r="A25" s="20" t="s">
        <v>46</v>
      </c>
      <c r="B25" s="10" t="s">
        <v>275</v>
      </c>
      <c r="C25" s="16" t="s">
        <v>5</v>
      </c>
      <c r="D25" s="16" t="s">
        <v>18</v>
      </c>
      <c r="E25" s="16">
        <v>4</v>
      </c>
      <c r="F25" s="16">
        <v>2</v>
      </c>
      <c r="G25" s="16" t="s">
        <v>57</v>
      </c>
    </row>
    <row r="26" spans="1:7">
      <c r="A26" s="20" t="s">
        <v>46</v>
      </c>
      <c r="B26" s="10" t="s">
        <v>308</v>
      </c>
      <c r="C26" s="16" t="s">
        <v>5</v>
      </c>
      <c r="D26" s="16" t="s">
        <v>18</v>
      </c>
      <c r="E26" s="16">
        <v>2</v>
      </c>
      <c r="F26" s="16">
        <v>1</v>
      </c>
      <c r="G26" s="16" t="s">
        <v>57</v>
      </c>
    </row>
    <row r="27" spans="1:7">
      <c r="A27" s="20" t="s">
        <v>46</v>
      </c>
      <c r="B27" s="10" t="s">
        <v>263</v>
      </c>
      <c r="C27" s="16" t="s">
        <v>257</v>
      </c>
      <c r="D27" s="16" t="s">
        <v>18</v>
      </c>
      <c r="E27" s="16">
        <v>8</v>
      </c>
      <c r="G27" s="16" t="s">
        <v>39</v>
      </c>
    </row>
    <row r="28" spans="1:7">
      <c r="A28" s="49" t="s">
        <v>264</v>
      </c>
      <c r="B28" s="10" t="s">
        <v>265</v>
      </c>
      <c r="C28" s="16" t="s">
        <v>5</v>
      </c>
      <c r="D28" s="16" t="s">
        <v>18</v>
      </c>
      <c r="E28" s="16">
        <v>3</v>
      </c>
      <c r="F28" s="16">
        <v>1</v>
      </c>
      <c r="G28" s="16" t="s">
        <v>57</v>
      </c>
    </row>
    <row r="29" spans="1:7">
      <c r="A29" s="49" t="s">
        <v>264</v>
      </c>
      <c r="B29" s="10" t="s">
        <v>266</v>
      </c>
      <c r="C29" s="16" t="s">
        <v>5</v>
      </c>
      <c r="D29" s="16" t="s">
        <v>18</v>
      </c>
      <c r="E29" s="16">
        <v>2</v>
      </c>
      <c r="F29" s="16">
        <v>2</v>
      </c>
      <c r="G29" s="16" t="s">
        <v>57</v>
      </c>
    </row>
    <row r="30" spans="1:7">
      <c r="A30" s="49" t="s">
        <v>264</v>
      </c>
      <c r="B30" s="10" t="s">
        <v>267</v>
      </c>
      <c r="C30" s="16" t="s">
        <v>5</v>
      </c>
      <c r="D30" s="16" t="s">
        <v>18</v>
      </c>
      <c r="E30" s="16">
        <v>1</v>
      </c>
      <c r="F30" s="16">
        <v>1</v>
      </c>
      <c r="G30" s="16" t="s">
        <v>57</v>
      </c>
    </row>
    <row r="31" spans="1:7">
      <c r="A31" s="49" t="s">
        <v>264</v>
      </c>
      <c r="B31" s="10" t="s">
        <v>268</v>
      </c>
      <c r="C31" s="16" t="s">
        <v>5</v>
      </c>
      <c r="D31" s="16" t="s">
        <v>18</v>
      </c>
      <c r="E31" s="16">
        <v>2</v>
      </c>
      <c r="G31" s="16" t="s">
        <v>306</v>
      </c>
    </row>
    <row r="32" spans="1:7">
      <c r="A32" s="49" t="s">
        <v>264</v>
      </c>
      <c r="B32" s="10" t="s">
        <v>269</v>
      </c>
      <c r="C32" s="16" t="s">
        <v>5</v>
      </c>
      <c r="D32" s="16" t="s">
        <v>18</v>
      </c>
      <c r="E32" s="16">
        <v>2</v>
      </c>
      <c r="G32" s="16" t="s">
        <v>39</v>
      </c>
    </row>
    <row r="33" spans="1:7">
      <c r="A33" s="21" t="s">
        <v>40</v>
      </c>
      <c r="B33" s="10" t="s">
        <v>270</v>
      </c>
      <c r="C33" s="16" t="s">
        <v>5</v>
      </c>
      <c r="D33" s="16" t="s">
        <v>18</v>
      </c>
      <c r="E33" s="16">
        <v>2</v>
      </c>
      <c r="G33" s="16" t="s">
        <v>306</v>
      </c>
    </row>
    <row r="34" spans="1:7">
      <c r="A34" s="21" t="s">
        <v>40</v>
      </c>
      <c r="B34" s="10" t="s">
        <v>271</v>
      </c>
      <c r="C34" s="16" t="s">
        <v>257</v>
      </c>
      <c r="D34" s="16" t="s">
        <v>18</v>
      </c>
      <c r="E34" s="16">
        <v>1</v>
      </c>
      <c r="G34" s="16" t="s">
        <v>39</v>
      </c>
    </row>
    <row r="35" spans="1:7">
      <c r="A35" s="21" t="s">
        <v>40</v>
      </c>
      <c r="B35" s="10" t="s">
        <v>291</v>
      </c>
      <c r="C35" s="16" t="s">
        <v>5</v>
      </c>
      <c r="D35" s="16" t="s">
        <v>18</v>
      </c>
      <c r="E35" s="16">
        <v>2</v>
      </c>
      <c r="F35" s="16">
        <v>12</v>
      </c>
      <c r="G35" s="16" t="s">
        <v>57</v>
      </c>
    </row>
    <row r="36" spans="1:7">
      <c r="A36" s="21" t="s">
        <v>40</v>
      </c>
      <c r="B36" s="10" t="s">
        <v>387</v>
      </c>
      <c r="C36" s="16" t="s">
        <v>5</v>
      </c>
      <c r="D36" s="16" t="s">
        <v>18</v>
      </c>
      <c r="E36" s="16">
        <v>3</v>
      </c>
      <c r="F36" s="16">
        <v>4</v>
      </c>
      <c r="G36" s="16" t="s">
        <v>57</v>
      </c>
    </row>
    <row r="37" spans="1:7">
      <c r="A37" s="21" t="s">
        <v>40</v>
      </c>
      <c r="B37" s="10" t="s">
        <v>272</v>
      </c>
      <c r="C37" s="16" t="s">
        <v>257</v>
      </c>
      <c r="D37" s="16" t="s">
        <v>18</v>
      </c>
      <c r="E37" s="16">
        <v>3</v>
      </c>
      <c r="G37" s="16" t="s">
        <v>39</v>
      </c>
    </row>
    <row r="38" spans="1:7">
      <c r="A38" s="21" t="s">
        <v>40</v>
      </c>
      <c r="B38" s="10" t="s">
        <v>273</v>
      </c>
      <c r="C38" s="16" t="s">
        <v>257</v>
      </c>
      <c r="D38" s="16" t="s">
        <v>18</v>
      </c>
      <c r="E38" s="16">
        <v>6</v>
      </c>
      <c r="F38" s="16">
        <v>6</v>
      </c>
      <c r="G38" s="16" t="s">
        <v>57</v>
      </c>
    </row>
    <row r="39" spans="1:7">
      <c r="A39" s="22" t="s">
        <v>41</v>
      </c>
      <c r="B39" s="10" t="s">
        <v>276</v>
      </c>
      <c r="C39" s="16" t="s">
        <v>5</v>
      </c>
      <c r="D39" s="16" t="s">
        <v>18</v>
      </c>
      <c r="E39" s="16">
        <v>3</v>
      </c>
      <c r="G39" s="16" t="s">
        <v>306</v>
      </c>
    </row>
    <row r="40" spans="1:7">
      <c r="A40" s="22" t="s">
        <v>41</v>
      </c>
      <c r="B40" s="10" t="s">
        <v>348</v>
      </c>
      <c r="C40" s="16" t="s">
        <v>5</v>
      </c>
      <c r="D40" s="16" t="s">
        <v>18</v>
      </c>
      <c r="E40" s="16">
        <v>1</v>
      </c>
      <c r="F40" s="16">
        <v>1</v>
      </c>
      <c r="G40" s="16" t="s">
        <v>57</v>
      </c>
    </row>
    <row r="41" spans="1:7">
      <c r="A41" s="22" t="s">
        <v>41</v>
      </c>
      <c r="B41" s="10" t="s">
        <v>75</v>
      </c>
      <c r="C41" s="16" t="s">
        <v>5</v>
      </c>
      <c r="D41" s="16" t="s">
        <v>18</v>
      </c>
      <c r="E41" s="16">
        <v>0</v>
      </c>
      <c r="G41" s="16" t="s">
        <v>57</v>
      </c>
    </row>
    <row r="42" spans="1:7" hidden="1">
      <c r="A42" s="23" t="s">
        <v>42</v>
      </c>
      <c r="B42" s="10" t="s">
        <v>278</v>
      </c>
      <c r="D42" s="16" t="s">
        <v>293</v>
      </c>
      <c r="E42" s="16">
        <v>2</v>
      </c>
      <c r="G42" s="16" t="s">
        <v>39</v>
      </c>
    </row>
    <row r="43" spans="1:7" hidden="1">
      <c r="A43" s="23" t="s">
        <v>42</v>
      </c>
      <c r="B43" s="10" t="s">
        <v>279</v>
      </c>
      <c r="C43" s="16" t="s">
        <v>5</v>
      </c>
      <c r="D43" s="16" t="s">
        <v>293</v>
      </c>
      <c r="E43" s="16">
        <v>1</v>
      </c>
      <c r="G43" s="16" t="s">
        <v>39</v>
      </c>
    </row>
    <row r="44" spans="1:7" hidden="1">
      <c r="A44" s="23" t="s">
        <v>42</v>
      </c>
      <c r="B44" s="10" t="s">
        <v>280</v>
      </c>
      <c r="D44" s="16" t="s">
        <v>293</v>
      </c>
      <c r="E44" s="16">
        <v>1</v>
      </c>
      <c r="F44" s="16">
        <v>1</v>
      </c>
      <c r="G44" s="16" t="s">
        <v>57</v>
      </c>
    </row>
    <row r="45" spans="1:7" hidden="1">
      <c r="A45" s="10" t="s">
        <v>277</v>
      </c>
      <c r="B45" s="10" t="s">
        <v>281</v>
      </c>
      <c r="D45" s="16" t="s">
        <v>10</v>
      </c>
      <c r="E45" s="16">
        <v>6</v>
      </c>
      <c r="G45" s="16" t="s">
        <v>39</v>
      </c>
    </row>
    <row r="46" spans="1:7" hidden="1">
      <c r="A46" s="10" t="s">
        <v>277</v>
      </c>
      <c r="B46" s="10" t="s">
        <v>282</v>
      </c>
      <c r="C46" s="16" t="s">
        <v>5</v>
      </c>
      <c r="D46" s="16" t="s">
        <v>10</v>
      </c>
      <c r="E46" s="16">
        <v>6</v>
      </c>
      <c r="G46" s="16" t="s">
        <v>39</v>
      </c>
    </row>
    <row r="47" spans="1:7" hidden="1">
      <c r="A47" s="10" t="s">
        <v>277</v>
      </c>
      <c r="B47" s="10" t="s">
        <v>478</v>
      </c>
      <c r="C47" s="16" t="s">
        <v>5</v>
      </c>
      <c r="D47" s="16" t="s">
        <v>10</v>
      </c>
      <c r="E47" s="16">
        <v>3</v>
      </c>
      <c r="G47" s="16" t="s">
        <v>306</v>
      </c>
    </row>
    <row r="48" spans="1:7" hidden="1">
      <c r="A48" s="10" t="s">
        <v>277</v>
      </c>
      <c r="B48" s="10" t="s">
        <v>479</v>
      </c>
      <c r="C48" s="16" t="s">
        <v>5</v>
      </c>
      <c r="D48" s="16" t="s">
        <v>10</v>
      </c>
      <c r="E48" s="16">
        <v>2</v>
      </c>
      <c r="G48" s="16" t="s">
        <v>306</v>
      </c>
    </row>
    <row r="49" spans="1:7">
      <c r="A49" s="10" t="s">
        <v>277</v>
      </c>
      <c r="B49" s="10" t="s">
        <v>283</v>
      </c>
      <c r="D49" s="16" t="s">
        <v>18</v>
      </c>
      <c r="E49" s="16">
        <v>0</v>
      </c>
      <c r="G49" s="16" t="s">
        <v>39</v>
      </c>
    </row>
    <row r="50" spans="1:7" hidden="1">
      <c r="A50" s="13" t="s">
        <v>38</v>
      </c>
      <c r="B50" s="10" t="s">
        <v>284</v>
      </c>
      <c r="C50" s="16" t="s">
        <v>257</v>
      </c>
      <c r="D50" s="16" t="s">
        <v>10</v>
      </c>
      <c r="E50" s="16">
        <v>1</v>
      </c>
      <c r="G50" s="16" t="s">
        <v>39</v>
      </c>
    </row>
    <row r="51" spans="1:7" hidden="1">
      <c r="A51" s="13" t="s">
        <v>38</v>
      </c>
      <c r="B51" s="10" t="s">
        <v>285</v>
      </c>
      <c r="C51" s="16" t="s">
        <v>5</v>
      </c>
      <c r="D51" s="16" t="s">
        <v>10</v>
      </c>
      <c r="E51" s="16">
        <v>8</v>
      </c>
      <c r="G51" s="16" t="s">
        <v>39</v>
      </c>
    </row>
    <row r="52" spans="1:7" hidden="1">
      <c r="A52" s="13" t="s">
        <v>38</v>
      </c>
      <c r="B52" s="10" t="s">
        <v>286</v>
      </c>
      <c r="C52" s="16" t="s">
        <v>5</v>
      </c>
      <c r="D52" s="16" t="s">
        <v>10</v>
      </c>
      <c r="E52" s="16">
        <v>6</v>
      </c>
      <c r="G52" s="16" t="s">
        <v>39</v>
      </c>
    </row>
    <row r="53" spans="1:7" hidden="1">
      <c r="A53" s="13" t="s">
        <v>38</v>
      </c>
      <c r="B53" s="10" t="s">
        <v>287</v>
      </c>
      <c r="C53" s="16" t="s">
        <v>5</v>
      </c>
      <c r="D53" s="16" t="s">
        <v>10</v>
      </c>
      <c r="E53" s="16">
        <v>8</v>
      </c>
      <c r="G53" s="16" t="s">
        <v>39</v>
      </c>
    </row>
    <row r="54" spans="1:7" hidden="1">
      <c r="A54" s="13" t="s">
        <v>38</v>
      </c>
      <c r="B54" s="10" t="s">
        <v>288</v>
      </c>
      <c r="C54" s="16" t="s">
        <v>5</v>
      </c>
      <c r="D54" s="16" t="s">
        <v>10</v>
      </c>
      <c r="E54" s="16">
        <v>8</v>
      </c>
      <c r="G54" s="16" t="s">
        <v>39</v>
      </c>
    </row>
    <row r="55" spans="1:7" hidden="1">
      <c r="A55" s="13" t="s">
        <v>38</v>
      </c>
      <c r="B55" s="10" t="s">
        <v>289</v>
      </c>
      <c r="C55" s="16" t="s">
        <v>5</v>
      </c>
      <c r="D55" s="16" t="s">
        <v>10</v>
      </c>
      <c r="E55" s="16">
        <v>4</v>
      </c>
      <c r="G55" s="16" t="s">
        <v>39</v>
      </c>
    </row>
    <row r="56" spans="1:7" hidden="1">
      <c r="A56" s="13" t="s">
        <v>38</v>
      </c>
      <c r="B56" s="10" t="s">
        <v>290</v>
      </c>
      <c r="C56" s="16" t="s">
        <v>5</v>
      </c>
      <c r="D56" s="16" t="s">
        <v>10</v>
      </c>
      <c r="E56" s="16">
        <v>12</v>
      </c>
      <c r="G56" s="16" t="s">
        <v>39</v>
      </c>
    </row>
    <row r="57" spans="1:7" hidden="1">
      <c r="A57" s="13" t="s">
        <v>38</v>
      </c>
      <c r="B57" s="10" t="s">
        <v>292</v>
      </c>
      <c r="C57" s="16" t="s">
        <v>5</v>
      </c>
      <c r="D57" s="16" t="s">
        <v>293</v>
      </c>
      <c r="E57" s="16">
        <v>12</v>
      </c>
      <c r="F57" s="10"/>
      <c r="G57" s="16" t="s">
        <v>39</v>
      </c>
    </row>
    <row r="59" spans="1:7">
      <c r="A59" s="10" t="s">
        <v>309</v>
      </c>
      <c r="B59" s="10" t="s">
        <v>310</v>
      </c>
    </row>
  </sheetData>
  <autoFilter ref="B2:G57" xr:uid="{00000000-0001-0000-0000-000000000000}">
    <filterColumn colId="2">
      <filters>
        <filter val="プロト"/>
      </filters>
    </filterColumn>
    <sortState xmlns:xlrd2="http://schemas.microsoft.com/office/spreadsheetml/2017/richdata2" ref="B3:G38">
      <sortCondition ref="B2:B38"/>
    </sortState>
  </autoFilter>
  <phoneticPr fontId="1"/>
  <dataValidations count="3">
    <dataValidation type="list" allowBlank="1" showInputMessage="1" showErrorMessage="1" sqref="D3:D57" xr:uid="{8982FD40-CA4D-4B92-93FE-B37B6B67ACD6}">
      <formula1>"プロト,アルファ,ベータ,マスタ"</formula1>
    </dataValidation>
    <dataValidation type="list" allowBlank="1" showInputMessage="1" showErrorMessage="1" sqref="G3:G57" xr:uid="{E1CFE88F-4F87-4696-BE21-1133C2AEB8C1}">
      <formula1>"未着手,作業中,完了"</formula1>
    </dataValidation>
    <dataValidation type="list" allowBlank="1" showInputMessage="1" showErrorMessage="1" sqref="C3:C57"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28"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349</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350</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D237"/>
  <sheetViews>
    <sheetView topLeftCell="A219" workbookViewId="0">
      <selection activeCell="C229" sqref="C229"/>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333</v>
      </c>
    </row>
    <row r="44" spans="1:3">
      <c r="C44" t="s">
        <v>336</v>
      </c>
    </row>
    <row r="45" spans="1:3">
      <c r="C45" t="s">
        <v>337</v>
      </c>
    </row>
    <row r="46" spans="1:3">
      <c r="C46" t="s">
        <v>338</v>
      </c>
    </row>
    <row r="47" spans="1:3">
      <c r="C47" t="s">
        <v>339</v>
      </c>
    </row>
    <row r="48" spans="1:3">
      <c r="C48" t="s">
        <v>340</v>
      </c>
    </row>
    <row r="49" spans="1:3">
      <c r="A49" s="1">
        <v>46210</v>
      </c>
      <c r="C49" t="s">
        <v>341</v>
      </c>
    </row>
    <row r="50" spans="1:3">
      <c r="C50" t="s">
        <v>342</v>
      </c>
    </row>
    <row r="52" spans="1:3">
      <c r="A52" s="1">
        <v>46211</v>
      </c>
      <c r="C52" t="s">
        <v>343</v>
      </c>
    </row>
    <row r="53" spans="1:3">
      <c r="C53" t="s">
        <v>344</v>
      </c>
    </row>
    <row r="54" spans="1:3">
      <c r="C54" t="s">
        <v>345</v>
      </c>
    </row>
    <row r="55" spans="1:3">
      <c r="C55" t="s">
        <v>346</v>
      </c>
    </row>
    <row r="56" spans="1:3">
      <c r="C56" t="s">
        <v>347</v>
      </c>
    </row>
    <row r="58" spans="1:3">
      <c r="C58" t="s">
        <v>351</v>
      </c>
    </row>
    <row r="60" spans="1:3">
      <c r="C60" t="s">
        <v>377</v>
      </c>
    </row>
    <row r="61" spans="1:3">
      <c r="C61" t="s">
        <v>378</v>
      </c>
    </row>
    <row r="63" spans="1:3">
      <c r="A63" s="1">
        <v>46212</v>
      </c>
      <c r="C63" t="s">
        <v>379</v>
      </c>
    </row>
    <row r="64" spans="1:3">
      <c r="C64" t="s">
        <v>380</v>
      </c>
    </row>
    <row r="65" spans="1:3">
      <c r="C65" t="s">
        <v>381</v>
      </c>
    </row>
    <row r="66" spans="1:3">
      <c r="C66" t="s">
        <v>382</v>
      </c>
    </row>
    <row r="68" spans="1:3">
      <c r="A68" s="1">
        <v>46213</v>
      </c>
      <c r="C68" t="s">
        <v>383</v>
      </c>
    </row>
    <row r="69" spans="1:3">
      <c r="C69" t="s">
        <v>384</v>
      </c>
    </row>
    <row r="70" spans="1:3">
      <c r="C70" t="s">
        <v>385</v>
      </c>
    </row>
    <row r="72" spans="1:3">
      <c r="A72" s="1">
        <v>46214</v>
      </c>
      <c r="C72" t="s">
        <v>388</v>
      </c>
    </row>
    <row r="73" spans="1:3">
      <c r="C73" t="s">
        <v>389</v>
      </c>
    </row>
    <row r="74" spans="1:3">
      <c r="C74" t="s">
        <v>390</v>
      </c>
    </row>
    <row r="76" spans="1:3">
      <c r="C76" t="s">
        <v>391</v>
      </c>
    </row>
    <row r="77" spans="1:3">
      <c r="C77" t="s">
        <v>392</v>
      </c>
    </row>
    <row r="78" spans="1:3">
      <c r="C78" t="s">
        <v>393</v>
      </c>
    </row>
    <row r="79" spans="1:3">
      <c r="C79" t="s">
        <v>394</v>
      </c>
    </row>
    <row r="81" spans="3:3">
      <c r="C81" t="s">
        <v>395</v>
      </c>
    </row>
    <row r="83" spans="3:3">
      <c r="C83" t="s">
        <v>397</v>
      </c>
    </row>
    <row r="84" spans="3:3">
      <c r="C84" t="s">
        <v>398</v>
      </c>
    </row>
    <row r="85" spans="3:3">
      <c r="C85" t="s">
        <v>399</v>
      </c>
    </row>
    <row r="87" spans="3:3">
      <c r="C87" t="s">
        <v>400</v>
      </c>
    </row>
    <row r="88" spans="3:3">
      <c r="C88" t="s">
        <v>401</v>
      </c>
    </row>
    <row r="90" spans="3:3">
      <c r="C90" t="s">
        <v>402</v>
      </c>
    </row>
    <row r="91" spans="3:3">
      <c r="C91" t="s">
        <v>403</v>
      </c>
    </row>
    <row r="92" spans="3:3">
      <c r="C92" t="s">
        <v>404</v>
      </c>
    </row>
    <row r="93" spans="3:3">
      <c r="C93" t="s">
        <v>405</v>
      </c>
    </row>
    <row r="94" spans="3:3">
      <c r="C94" t="s">
        <v>406</v>
      </c>
    </row>
    <row r="95" spans="3:3">
      <c r="C95" t="s">
        <v>407</v>
      </c>
    </row>
    <row r="96" spans="3:3">
      <c r="C96" t="s">
        <v>408</v>
      </c>
    </row>
    <row r="97" spans="1:3">
      <c r="C97" t="s">
        <v>409</v>
      </c>
    </row>
    <row r="99" spans="1:3">
      <c r="A99" s="1">
        <v>46215</v>
      </c>
      <c r="C99" t="s">
        <v>410</v>
      </c>
    </row>
    <row r="100" spans="1:3">
      <c r="C100" t="s">
        <v>411</v>
      </c>
    </row>
    <row r="101" spans="1:3">
      <c r="C101" t="s">
        <v>412</v>
      </c>
    </row>
    <row r="102" spans="1:3">
      <c r="C102" t="s">
        <v>413</v>
      </c>
    </row>
    <row r="103" spans="1:3">
      <c r="C103" t="s">
        <v>414</v>
      </c>
    </row>
    <row r="104" spans="1:3">
      <c r="C104" t="s">
        <v>415</v>
      </c>
    </row>
    <row r="105" spans="1:3">
      <c r="C105" t="s">
        <v>416</v>
      </c>
    </row>
    <row r="106" spans="1:3">
      <c r="C106" t="s">
        <v>417</v>
      </c>
    </row>
    <row r="107" spans="1:3">
      <c r="C107" t="s">
        <v>418</v>
      </c>
    </row>
    <row r="109" spans="1:3">
      <c r="A109" s="1">
        <v>46216</v>
      </c>
      <c r="C109" t="s">
        <v>419</v>
      </c>
    </row>
    <row r="110" spans="1:3">
      <c r="C110" t="s">
        <v>420</v>
      </c>
    </row>
    <row r="111" spans="1:3">
      <c r="C111" t="s">
        <v>421</v>
      </c>
    </row>
    <row r="112" spans="1:3">
      <c r="C112" t="s">
        <v>422</v>
      </c>
    </row>
    <row r="113" spans="1:3">
      <c r="C113" t="s">
        <v>423</v>
      </c>
    </row>
    <row r="114" spans="1:3">
      <c r="C114" t="s">
        <v>424</v>
      </c>
    </row>
    <row r="115" spans="1:3">
      <c r="C115" t="s">
        <v>425</v>
      </c>
    </row>
    <row r="116" spans="1:3">
      <c r="C116" t="s">
        <v>426</v>
      </c>
    </row>
    <row r="118" spans="1:3">
      <c r="A118" s="1">
        <v>46218</v>
      </c>
      <c r="C118" t="s">
        <v>432</v>
      </c>
    </row>
    <row r="119" spans="1:3">
      <c r="C119" t="s">
        <v>433</v>
      </c>
    </row>
    <row r="121" spans="1:3">
      <c r="C121" t="s">
        <v>434</v>
      </c>
    </row>
    <row r="122" spans="1:3">
      <c r="C122" t="s">
        <v>435</v>
      </c>
    </row>
    <row r="123" spans="1:3">
      <c r="C123" t="s">
        <v>436</v>
      </c>
    </row>
    <row r="124" spans="1:3">
      <c r="A124" s="1">
        <v>46219</v>
      </c>
      <c r="C124" t="s">
        <v>437</v>
      </c>
    </row>
    <row r="125" spans="1:3">
      <c r="A125" s="1">
        <v>46220</v>
      </c>
      <c r="C125" t="s">
        <v>438</v>
      </c>
    </row>
    <row r="126" spans="1:3">
      <c r="C126" t="s">
        <v>439</v>
      </c>
    </row>
    <row r="127" spans="1:3">
      <c r="C127" t="s">
        <v>440</v>
      </c>
    </row>
    <row r="128" spans="1:3">
      <c r="C128" t="s">
        <v>441</v>
      </c>
    </row>
    <row r="129" spans="1:3">
      <c r="C129" t="s">
        <v>442</v>
      </c>
    </row>
    <row r="130" spans="1:3">
      <c r="A130" s="1">
        <v>46221</v>
      </c>
      <c r="C130" t="s">
        <v>443</v>
      </c>
    </row>
    <row r="131" spans="1:3">
      <c r="C131" t="s">
        <v>444</v>
      </c>
    </row>
    <row r="132" spans="1:3">
      <c r="C132" t="s">
        <v>445</v>
      </c>
    </row>
    <row r="133" spans="1:3">
      <c r="C133" t="s">
        <v>446</v>
      </c>
    </row>
    <row r="134" spans="1:3">
      <c r="C134" t="s">
        <v>447</v>
      </c>
    </row>
    <row r="135" spans="1:3">
      <c r="C135" t="s">
        <v>448</v>
      </c>
    </row>
    <row r="136" spans="1:3">
      <c r="C136" t="s">
        <v>449</v>
      </c>
    </row>
    <row r="137" spans="1:3">
      <c r="C137" t="s">
        <v>450</v>
      </c>
    </row>
    <row r="138" spans="1:3">
      <c r="C138" t="s">
        <v>451</v>
      </c>
    </row>
    <row r="139" spans="1:3">
      <c r="C139" t="s">
        <v>458</v>
      </c>
    </row>
    <row r="140" spans="1:3">
      <c r="C140" t="s">
        <v>459</v>
      </c>
    </row>
    <row r="142" spans="1:3">
      <c r="A142" s="1">
        <v>46224</v>
      </c>
      <c r="C142" t="s">
        <v>461</v>
      </c>
    </row>
    <row r="143" spans="1:3">
      <c r="C143" t="s">
        <v>462</v>
      </c>
    </row>
    <row r="144" spans="1:3">
      <c r="C144" t="s">
        <v>463</v>
      </c>
    </row>
    <row r="145" spans="1:3">
      <c r="C145" t="s">
        <v>464</v>
      </c>
    </row>
    <row r="146" spans="1:3">
      <c r="C146" t="s">
        <v>465</v>
      </c>
    </row>
    <row r="147" spans="1:3">
      <c r="C147" t="s">
        <v>466</v>
      </c>
    </row>
    <row r="148" spans="1:3">
      <c r="C148" t="s">
        <v>467</v>
      </c>
    </row>
    <row r="149" spans="1:3">
      <c r="C149" t="s">
        <v>468</v>
      </c>
    </row>
    <row r="150" spans="1:3">
      <c r="C150" t="s">
        <v>469</v>
      </c>
    </row>
    <row r="152" spans="1:3">
      <c r="C152" t="s">
        <v>470</v>
      </c>
    </row>
    <row r="153" spans="1:3">
      <c r="A153" s="1">
        <v>46225</v>
      </c>
      <c r="C153" t="s">
        <v>472</v>
      </c>
    </row>
    <row r="154" spans="1:3">
      <c r="C154" t="s">
        <v>471</v>
      </c>
    </row>
    <row r="155" spans="1:3">
      <c r="C155" t="s">
        <v>473</v>
      </c>
    </row>
    <row r="156" spans="1:3">
      <c r="C156" t="s">
        <v>474</v>
      </c>
    </row>
    <row r="158" spans="1:3">
      <c r="A158" s="1">
        <v>46226</v>
      </c>
      <c r="C158" t="s">
        <v>476</v>
      </c>
    </row>
    <row r="159" spans="1:3">
      <c r="C159" t="s">
        <v>477</v>
      </c>
    </row>
    <row r="161" spans="1:3">
      <c r="A161" s="1">
        <v>46236</v>
      </c>
      <c r="C161" t="s">
        <v>482</v>
      </c>
    </row>
    <row r="162" spans="1:3">
      <c r="C162" t="s">
        <v>483</v>
      </c>
    </row>
    <row r="163" spans="1:3">
      <c r="C163" t="s">
        <v>484</v>
      </c>
    </row>
    <row r="164" spans="1:3">
      <c r="C164" t="s">
        <v>485</v>
      </c>
    </row>
    <row r="165" spans="1:3">
      <c r="C165" t="s">
        <v>486</v>
      </c>
    </row>
    <row r="166" spans="1:3">
      <c r="C166" t="s">
        <v>487</v>
      </c>
    </row>
    <row r="167" spans="1:3">
      <c r="C167" t="s">
        <v>488</v>
      </c>
    </row>
    <row r="169" spans="1:3">
      <c r="C169" t="s">
        <v>489</v>
      </c>
    </row>
    <row r="170" spans="1:3">
      <c r="C170" t="s">
        <v>490</v>
      </c>
    </row>
    <row r="171" spans="1:3">
      <c r="C171" t="s">
        <v>491</v>
      </c>
    </row>
    <row r="172" spans="1:3">
      <c r="C172" t="s">
        <v>492</v>
      </c>
    </row>
    <row r="173" spans="1:3">
      <c r="A173" s="1">
        <v>46242</v>
      </c>
      <c r="C173" t="s">
        <v>493</v>
      </c>
    </row>
    <row r="174" spans="1:3">
      <c r="C174" t="s">
        <v>494</v>
      </c>
    </row>
    <row r="175" spans="1:3">
      <c r="C175" t="s">
        <v>495</v>
      </c>
    </row>
    <row r="176" spans="1:3">
      <c r="C176" t="s">
        <v>496</v>
      </c>
    </row>
    <row r="177" spans="1:3">
      <c r="C177" t="s">
        <v>497</v>
      </c>
    </row>
    <row r="179" spans="1:3">
      <c r="A179" s="1">
        <v>46244</v>
      </c>
      <c r="C179" t="s">
        <v>498</v>
      </c>
    </row>
    <row r="180" spans="1:3">
      <c r="C180" t="s">
        <v>499</v>
      </c>
    </row>
    <row r="181" spans="1:3">
      <c r="C181" t="s">
        <v>500</v>
      </c>
    </row>
    <row r="182" spans="1:3">
      <c r="C182" t="s">
        <v>501</v>
      </c>
    </row>
    <row r="183" spans="1:3">
      <c r="C183" t="s">
        <v>502</v>
      </c>
    </row>
    <row r="184" spans="1:3">
      <c r="C184" t="s">
        <v>503</v>
      </c>
    </row>
    <row r="186" spans="1:3">
      <c r="C186" t="s">
        <v>504</v>
      </c>
    </row>
    <row r="187" spans="1:3">
      <c r="C187" t="s">
        <v>505</v>
      </c>
    </row>
    <row r="188" spans="1:3">
      <c r="C188" t="s">
        <v>506</v>
      </c>
    </row>
    <row r="189" spans="1:3">
      <c r="C189" t="s">
        <v>507</v>
      </c>
    </row>
    <row r="191" spans="1:3">
      <c r="C191" t="s">
        <v>508</v>
      </c>
    </row>
    <row r="192" spans="1:3">
      <c r="B192" t="s">
        <v>511</v>
      </c>
      <c r="C192" t="s">
        <v>509</v>
      </c>
    </row>
    <row r="193" spans="1:3">
      <c r="B193" t="s">
        <v>511</v>
      </c>
      <c r="C193" t="s">
        <v>510</v>
      </c>
    </row>
    <row r="194" spans="1:3">
      <c r="A194" t="s">
        <v>515</v>
      </c>
      <c r="B194" t="s">
        <v>513</v>
      </c>
      <c r="C194" t="s">
        <v>514</v>
      </c>
    </row>
    <row r="195" spans="1:3">
      <c r="B195" t="s">
        <v>511</v>
      </c>
      <c r="C195" t="s">
        <v>512</v>
      </c>
    </row>
    <row r="196" spans="1:3">
      <c r="C196" t="s">
        <v>516</v>
      </c>
    </row>
    <row r="197" spans="1:3">
      <c r="C197" t="s">
        <v>517</v>
      </c>
    </row>
    <row r="198" spans="1:3">
      <c r="C198" t="s">
        <v>518</v>
      </c>
    </row>
    <row r="199" spans="1:3">
      <c r="C199" t="s">
        <v>519</v>
      </c>
    </row>
    <row r="200" spans="1:3">
      <c r="C200" t="s">
        <v>520</v>
      </c>
    </row>
    <row r="202" spans="1:3">
      <c r="C202" t="s">
        <v>521</v>
      </c>
    </row>
    <row r="203" spans="1:3">
      <c r="C203" t="s">
        <v>522</v>
      </c>
    </row>
    <row r="204" spans="1:3">
      <c r="C204" t="s">
        <v>523</v>
      </c>
    </row>
    <row r="205" spans="1:3">
      <c r="C205" t="s">
        <v>524</v>
      </c>
    </row>
    <row r="207" spans="1:3">
      <c r="C207" t="s">
        <v>525</v>
      </c>
    </row>
    <row r="208" spans="1:3">
      <c r="C208" t="s">
        <v>526</v>
      </c>
    </row>
    <row r="209" spans="1:3">
      <c r="C209" t="s">
        <v>527</v>
      </c>
    </row>
    <row r="210" spans="1:3">
      <c r="C210" t="s">
        <v>528</v>
      </c>
    </row>
    <row r="211" spans="1:3">
      <c r="C211" t="s">
        <v>529</v>
      </c>
    </row>
    <row r="212" spans="1:3">
      <c r="A212" s="1">
        <v>46255</v>
      </c>
      <c r="C212" t="s">
        <v>530</v>
      </c>
    </row>
    <row r="213" spans="1:3">
      <c r="C213" t="s">
        <v>531</v>
      </c>
    </row>
    <row r="214" spans="1:3">
      <c r="C214" t="s">
        <v>532</v>
      </c>
    </row>
    <row r="215" spans="1:3">
      <c r="C215" t="s">
        <v>533</v>
      </c>
    </row>
    <row r="216" spans="1:3">
      <c r="C216" t="s">
        <v>534</v>
      </c>
    </row>
    <row r="217" spans="1:3">
      <c r="C217" t="s">
        <v>535</v>
      </c>
    </row>
    <row r="218" spans="1:3">
      <c r="C218" t="s">
        <v>536</v>
      </c>
    </row>
    <row r="219" spans="1:3">
      <c r="C219" t="s">
        <v>537</v>
      </c>
    </row>
    <row r="220" spans="1:3">
      <c r="C220" t="s">
        <v>538</v>
      </c>
    </row>
    <row r="221" spans="1:3">
      <c r="C221" t="s">
        <v>539</v>
      </c>
    </row>
    <row r="222" spans="1:3">
      <c r="C222" t="s">
        <v>540</v>
      </c>
    </row>
    <row r="223" spans="1:3">
      <c r="C223" t="s">
        <v>541</v>
      </c>
    </row>
    <row r="224" spans="1:3">
      <c r="A224" s="1">
        <v>46257</v>
      </c>
      <c r="C224" t="s">
        <v>542</v>
      </c>
    </row>
    <row r="225" spans="2:4">
      <c r="C225" t="s">
        <v>543</v>
      </c>
    </row>
    <row r="226" spans="2:4">
      <c r="C226" t="s">
        <v>544</v>
      </c>
    </row>
    <row r="228" spans="2:4">
      <c r="C228" t="s">
        <v>545</v>
      </c>
      <c r="D228" t="s">
        <v>557</v>
      </c>
    </row>
    <row r="229" spans="2:4">
      <c r="B229" t="s">
        <v>555</v>
      </c>
      <c r="C229" t="s">
        <v>546</v>
      </c>
    </row>
    <row r="230" spans="2:4">
      <c r="B230" t="s">
        <v>554</v>
      </c>
      <c r="C230" t="s">
        <v>547</v>
      </c>
    </row>
    <row r="231" spans="2:4">
      <c r="B231" t="s">
        <v>554</v>
      </c>
      <c r="C231" t="s">
        <v>548</v>
      </c>
    </row>
    <row r="232" spans="2:4">
      <c r="B232" t="s">
        <v>556</v>
      </c>
      <c r="C232" t="s">
        <v>549</v>
      </c>
    </row>
    <row r="233" spans="2:4">
      <c r="B233" t="s">
        <v>556</v>
      </c>
      <c r="C233" t="s">
        <v>551</v>
      </c>
    </row>
    <row r="234" spans="2:4">
      <c r="B234" t="s">
        <v>555</v>
      </c>
      <c r="C234" t="s">
        <v>552</v>
      </c>
    </row>
    <row r="235" spans="2:4">
      <c r="B235" t="s">
        <v>555</v>
      </c>
      <c r="C235" t="s">
        <v>553</v>
      </c>
    </row>
    <row r="236" spans="2:4">
      <c r="B236" t="s">
        <v>556</v>
      </c>
      <c r="C236" t="s">
        <v>550</v>
      </c>
    </row>
    <row r="237" spans="2:4">
      <c r="B237" t="s">
        <v>555</v>
      </c>
      <c r="C237" t="s">
        <v>558</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workbookViewId="0">
      <selection activeCell="G13" sqref="G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358</v>
      </c>
    </row>
    <row r="3" spans="4:18">
      <c r="D3" t="s">
        <v>352</v>
      </c>
    </row>
    <row r="4" spans="4:18">
      <c r="D4" t="s">
        <v>356</v>
      </c>
      <c r="H4" t="s">
        <v>353</v>
      </c>
    </row>
    <row r="5" spans="4:18">
      <c r="D5" t="s">
        <v>357</v>
      </c>
      <c r="H5" t="s">
        <v>354</v>
      </c>
      <c r="N5" t="s">
        <v>367</v>
      </c>
      <c r="O5" t="s">
        <v>368</v>
      </c>
      <c r="P5" t="s">
        <v>369</v>
      </c>
      <c r="Q5" t="s">
        <v>368</v>
      </c>
      <c r="R5" t="s">
        <v>370</v>
      </c>
    </row>
    <row r="6" spans="4:18">
      <c r="H6" t="s">
        <v>355</v>
      </c>
    </row>
    <row r="9" spans="4:18">
      <c r="D9" t="s">
        <v>359</v>
      </c>
    </row>
    <row r="10" spans="4:18">
      <c r="D10" t="s">
        <v>360</v>
      </c>
      <c r="E10" t="s">
        <v>361</v>
      </c>
      <c r="F10" t="s">
        <v>363</v>
      </c>
      <c r="G10" t="s">
        <v>364</v>
      </c>
      <c r="H10" t="s">
        <v>365</v>
      </c>
      <c r="I10" t="s">
        <v>99</v>
      </c>
      <c r="J10" t="s">
        <v>366</v>
      </c>
      <c r="K10" t="s">
        <v>362</v>
      </c>
    </row>
    <row r="12" spans="4:18">
      <c r="D12" s="54" t="s">
        <v>371</v>
      </c>
      <c r="E12" s="54" t="s">
        <v>372</v>
      </c>
    </row>
    <row r="13" spans="4:18">
      <c r="D13" s="54"/>
      <c r="E13" s="54" t="s">
        <v>373</v>
      </c>
    </row>
    <row r="15" spans="4:18">
      <c r="D15" t="s">
        <v>374</v>
      </c>
      <c r="E15" t="s">
        <v>107</v>
      </c>
      <c r="K15" t="s">
        <v>376</v>
      </c>
    </row>
    <row r="17" spans="14:16">
      <c r="N17" t="s">
        <v>277</v>
      </c>
      <c r="P17" t="s">
        <v>375</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E64"/>
  <sheetViews>
    <sheetView topLeftCell="A18" workbookViewId="0">
      <selection activeCell="B32" sqref="B32"/>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5">
      <c r="B17" t="s">
        <v>131</v>
      </c>
      <c r="D17" t="s">
        <v>145</v>
      </c>
    </row>
    <row r="18" spans="2:5">
      <c r="B18" t="s">
        <v>321</v>
      </c>
    </row>
    <row r="19" spans="2:5">
      <c r="B19" t="s">
        <v>322</v>
      </c>
    </row>
    <row r="20" spans="2:5">
      <c r="B20" t="s">
        <v>323</v>
      </c>
      <c r="D20" t="s">
        <v>312</v>
      </c>
    </row>
    <row r="21" spans="2:5">
      <c r="B21" t="s">
        <v>324</v>
      </c>
      <c r="D21" t="s">
        <v>313</v>
      </c>
      <c r="E21" t="s">
        <v>314</v>
      </c>
    </row>
    <row r="22" spans="2:5">
      <c r="B22" t="s">
        <v>325</v>
      </c>
      <c r="D22" t="s">
        <v>315</v>
      </c>
      <c r="E22" t="s">
        <v>316</v>
      </c>
    </row>
    <row r="23" spans="2:5">
      <c r="D23" t="s">
        <v>317</v>
      </c>
      <c r="E23" t="s">
        <v>318</v>
      </c>
    </row>
    <row r="25" spans="2:5">
      <c r="B25" s="32"/>
    </row>
    <row r="27" spans="2:5">
      <c r="B27" t="s">
        <v>207</v>
      </c>
      <c r="D27" t="s">
        <v>319</v>
      </c>
    </row>
    <row r="28" spans="2:5">
      <c r="B28" t="s">
        <v>311</v>
      </c>
      <c r="D28" t="s">
        <v>320</v>
      </c>
    </row>
    <row r="31" spans="2:5">
      <c r="B31" t="s">
        <v>475</v>
      </c>
    </row>
    <row r="33" spans="2:2">
      <c r="B33" t="s">
        <v>326</v>
      </c>
    </row>
    <row r="34" spans="2:2">
      <c r="B34" t="s">
        <v>328</v>
      </c>
    </row>
    <row r="35" spans="2:2">
      <c r="B35" t="s">
        <v>329</v>
      </c>
    </row>
    <row r="36" spans="2:2">
      <c r="B36" t="s">
        <v>327</v>
      </c>
    </row>
    <row r="37" spans="2:2">
      <c r="B37" t="s">
        <v>330</v>
      </c>
    </row>
    <row r="40" spans="2:2">
      <c r="B40" t="s">
        <v>331</v>
      </c>
    </row>
    <row r="41" spans="2:2">
      <c r="B41" t="s">
        <v>332</v>
      </c>
    </row>
    <row r="45" spans="2:2">
      <c r="B45" t="s">
        <v>396</v>
      </c>
    </row>
    <row r="47" spans="2:2">
      <c r="B47" t="s">
        <v>427</v>
      </c>
    </row>
    <row r="48" spans="2:2">
      <c r="B48" t="s">
        <v>428</v>
      </c>
    </row>
    <row r="49" spans="2:2">
      <c r="B49" t="s">
        <v>429</v>
      </c>
    </row>
    <row r="50" spans="2:2">
      <c r="B50" t="s">
        <v>430</v>
      </c>
    </row>
    <row r="51" spans="2:2">
      <c r="B51" t="s">
        <v>431</v>
      </c>
    </row>
    <row r="54" spans="2:2">
      <c r="B54" t="s">
        <v>452</v>
      </c>
    </row>
    <row r="55" spans="2:2">
      <c r="B55" t="s">
        <v>460</v>
      </c>
    </row>
    <row r="56" spans="2:2">
      <c r="B56" t="s">
        <v>453</v>
      </c>
    </row>
    <row r="61" spans="2:2">
      <c r="B61" t="s">
        <v>454</v>
      </c>
    </row>
    <row r="62" spans="2:2">
      <c r="B62" t="s">
        <v>455</v>
      </c>
    </row>
    <row r="63" spans="2:2">
      <c r="B63" t="s">
        <v>456</v>
      </c>
    </row>
    <row r="64" spans="2:2">
      <c r="B64" t="s">
        <v>457</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B6BCA-2C55-4226-858C-6FF0248D7A91}">
  <dimension ref="B2:B5"/>
  <sheetViews>
    <sheetView tabSelected="1" workbookViewId="0">
      <selection activeCell="B6" sqref="B6"/>
    </sheetView>
  </sheetViews>
  <sheetFormatPr defaultRowHeight="18.75"/>
  <sheetData>
    <row r="2" spans="2:2">
      <c r="B2" t="s">
        <v>559</v>
      </c>
    </row>
    <row r="3" spans="2:2">
      <c r="B3" t="s">
        <v>560</v>
      </c>
    </row>
    <row r="4" spans="2:2">
      <c r="B4" t="s">
        <v>561</v>
      </c>
    </row>
    <row r="5" spans="2:2">
      <c r="B5" t="s">
        <v>562</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3.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概要</vt:lpstr>
      <vt:lpstr>作業工数見積もり</vt:lpstr>
      <vt:lpstr>カレンダー</vt:lpstr>
      <vt:lpstr>日記</vt:lpstr>
      <vt:lpstr>Sheet1</vt:lpstr>
      <vt:lpstr>メモ</vt:lpstr>
      <vt:lpstr>雑用</vt:lpstr>
      <vt:lpstr>仕様書①</vt:lpstr>
      <vt:lpstr>仕様書②</vt:lpstr>
      <vt:lpstr>クラス設計</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2026-08-23T13:54:10Z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