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C89B8505-0EC9-42AA-8414-2540F22929EC}" xr6:coauthVersionLast="47" xr6:coauthVersionMax="47" xr10:uidLastSave="{00000000-0000-0000-0000-000000000000}"/>
  <bookViews>
    <workbookView xWindow="-120" yWindow="-120" windowWidth="29040" windowHeight="15720"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<sst xmlns="http://schemas.openxmlformats.org/spreadsheetml/2006/main" count="559" uniqueCount="342">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</sst>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4</v>
      </c>
      <c r="D4" t="s">
        <v>7</v>
      </c>
    </row>
    <row r="5" spans="2:5">
      <c r="B5" s="6" t="s">
        <v>8</v>
      </c>
      <c r="C5" s="2">
        <f ca="1">NETWORKDAYS(C6,C7)</f>
        <v>433</v>
      </c>
      <c r="D5" s="3">
        <f ca="1" xml:space="preserve"> C4 / C5</f>
        <v>9.2378752886836026E-3</v>
      </c>
    </row>
    <row r="6" spans="2:5">
      <c r="B6" s="7" t="s">
        <v>9</v>
      </c>
      <c r="C6" s="1">
        <f>DATE(2024,11,7)</f>
        <v>45603</v>
      </c>
    </row>
    <row r="7" spans="2:5">
      <c r="B7" s="8" t="s">
        <v>11</v>
      </c>
      <c r="C7" s="1">
        <f ca="1">TODAY()</f>
        <v>46209</v>
      </c>
    </row>
    <row r="9" spans="2:5">
      <c r="D9" t="s">
        <v>12</v>
      </c>
      <c r="E9" t="s">
        <v>13</v>
      </c>
    </row>
    <row r="10" spans="2:5">
      <c r="B10" s="4" t="s">
        <v>15</v>
      </c>
      <c r="C10" s="1">
        <f>DATE(2024,12,20)</f>
        <v>45646</v>
      </c>
      <c r="D10" s="2">
        <f ca="1">NETWORKDAYS(TODAY(),C10)</f>
        <v>-402</v>
      </c>
      <c r="E10" s="3">
        <f ca="1">($C$3 - $C$4) / D10</f>
        <v>-0.44278606965174128</v>
      </c>
    </row>
    <row r="11" spans="2:5">
      <c r="B11" s="9" t="s">
        <v>16</v>
      </c>
      <c r="C11" s="1">
        <f>DATE(2025,1,17)</f>
        <v>45674</v>
      </c>
      <c r="D11" s="2">
        <f ca="1">NETWORKDAYS(TODAY(),C11)</f>
        <v>-382</v>
      </c>
      <c r="E11" s="3">
        <f ca="1">($C$3 - $C$4) / D11</f>
        <v>-0.46596858638743455</v>
      </c>
    </row>
    <row r="12" spans="2:5">
      <c r="B12" s="6" t="s">
        <v>17</v>
      </c>
      <c r="C12" s="1">
        <f>DATE(2025,2,3)</f>
        <v>45691</v>
      </c>
      <c r="D12" s="2">
        <f ca="1">NETWORKDAYS(TODAY(),C12)</f>
        <v>-371</v>
      </c>
      <c r="E12" s="3">
        <f ca="1">($C$3 - $C$4) / D12</f>
        <v>-0.47978436657681939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2"/>
  <sheetViews>
    <sheetView topLeftCell="A21" zoomScale="85" zoomScaleNormal="85" workbookViewId="0">
      <selection activeCell="G17" sqref="G17"/>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137</v>
      </c>
      <c r="L3" s="10">
        <f>SUM(F3:F38)</f>
        <v>25</v>
      </c>
      <c r="M3" s="10">
        <f ca="1">INT(J11 - TODAY())</f>
        <v>56</v>
      </c>
      <c r="N3" s="10">
        <f ca="1">K3/M3</f>
        <v>2.4464285714285716</v>
      </c>
    </row>
    <row r="4" spans="1:14" hidden="1">
      <c r="A4" s="17" t="s">
        <v>35</v>
      </c>
      <c r="B4" s="10" t="s">
        <v>48</v>
      </c>
      <c r="C4" s="16" t="s">
        <v>14</v>
      </c>
      <c r="D4" s="16" t="s">
        <v>10</v>
      </c>
      <c r="E4" s="16">
        <v>0</v>
      </c>
      <c r="G4" s="16" t="s">
        <v>39</v>
      </c>
      <c r="I4" s="26" t="s">
        <v>28</v>
      </c>
      <c r="J4" s="29">
        <f>SUMIF(D3:D50,I4,E3:E50)</f>
        <v>89</v>
      </c>
      <c r="K4" s="10">
        <f>SUMIFS(E3:E50,G3:G50,"未着手",D3:D50,I4)</f>
        <v>62</v>
      </c>
      <c r="L4" s="10">
        <f>SUMIFS(F3:F38,D3:D38,I4)</f>
        <v>25</v>
      </c>
      <c r="M4" s="10">
        <f ca="1">INT(J12-TODAY())</f>
        <v>11</v>
      </c>
      <c r="N4" s="10">
        <f ca="1">J4/M4</f>
        <v>8.0909090909090917</v>
      </c>
    </row>
    <row r="5" spans="1:14" hidden="1">
      <c r="A5" s="17" t="s">
        <v>35</v>
      </c>
      <c r="B5" s="10" t="s">
        <v>49</v>
      </c>
      <c r="C5" s="16" t="s">
        <v>14</v>
      </c>
      <c r="D5" s="16" t="s">
        <v>10</v>
      </c>
      <c r="E5" s="16">
        <v>0</v>
      </c>
      <c r="G5" s="16" t="s">
        <v>39</v>
      </c>
      <c r="I5" s="27" t="s">
        <v>0</v>
      </c>
      <c r="J5" s="29">
        <f>SUMIF(D3:D50,I5,E3:E50)</f>
        <v>77</v>
      </c>
      <c r="K5" s="10">
        <f>SUMIFS(E3:E50,G3:G50,"未着手",D3:D50,I5)</f>
        <v>59</v>
      </c>
      <c r="L5" s="10">
        <f>SUMIFS(F4:F42,D4:D42,I5)</f>
        <v>0</v>
      </c>
      <c r="M5" s="10">
        <f t="shared" ref="M5:M6" ca="1" si="0">INT(J13-TODAY())</f>
        <v>35</v>
      </c>
      <c r="N5" s="10">
        <f t="shared" ref="N5:N6" ca="1" si="1">J5/M5</f>
        <v>2.2000000000000002</v>
      </c>
    </row>
    <row r="6" spans="1:14" hidden="1">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52</v>
      </c>
      <c r="N6" s="10">
        <f t="shared" ca="1" si="1"/>
        <v>0.30769230769230771</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F22" s="16">
        <v>2</v>
      </c>
      <c r="G22" s="16" t="s">
        <v>306</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5</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F32" s="16">
        <v>12</v>
      </c>
      <c r="G32" s="16" t="s">
        <v>57</v>
      </c>
    </row>
    <row r="33" spans="1:7">
      <c r="A33" s="21" t="s">
        <v>40</v>
      </c>
      <c r="B33" s="10" t="s">
        <v>272</v>
      </c>
      <c r="C33" s="16" t="s">
        <v>257</v>
      </c>
      <c r="D33" s="16" t="s">
        <v>18</v>
      </c>
      <c r="E33" s="16">
        <v>3</v>
      </c>
      <c r="G33" s="16" t="s">
        <v>39</v>
      </c>
    </row>
    <row r="34" spans="1:7">
      <c r="A34" s="21" t="s">
        <v>40</v>
      </c>
      <c r="B34" s="10" t="s">
        <v>273</v>
      </c>
      <c r="C34" s="16" t="s">
        <v>257</v>
      </c>
      <c r="D34" s="16" t="s">
        <v>18</v>
      </c>
      <c r="E34" s="16">
        <v>6</v>
      </c>
      <c r="F34" s="16">
        <v>6</v>
      </c>
      <c r="G34" s="16" t="s">
        <v>57</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hidden="1">
      <c r="A37" s="23" t="s">
        <v>42</v>
      </c>
      <c r="B37" s="10" t="s">
        <v>278</v>
      </c>
      <c r="D37" s="16" t="s">
        <v>293</v>
      </c>
      <c r="E37" s="16">
        <v>2</v>
      </c>
      <c r="G37" s="16" t="s">
        <v>39</v>
      </c>
    </row>
    <row r="38" spans="1:7" hidden="1">
      <c r="A38" s="23" t="s">
        <v>42</v>
      </c>
      <c r="B38" s="10" t="s">
        <v>279</v>
      </c>
      <c r="C38" s="16" t="s">
        <v>5</v>
      </c>
      <c r="D38" s="16" t="s">
        <v>293</v>
      </c>
      <c r="E38" s="16">
        <v>1</v>
      </c>
      <c r="G38" s="16" t="s">
        <v>39</v>
      </c>
    </row>
    <row r="39" spans="1:7" hidden="1">
      <c r="A39" s="23" t="s">
        <v>42</v>
      </c>
      <c r="B39" s="10" t="s">
        <v>280</v>
      </c>
      <c r="D39" s="16" t="s">
        <v>293</v>
      </c>
      <c r="E39" s="16">
        <v>1</v>
      </c>
      <c r="G39" s="16" t="s">
        <v>39</v>
      </c>
    </row>
    <row r="40" spans="1:7" hidden="1">
      <c r="A40" s="10" t="s">
        <v>277</v>
      </c>
      <c r="B40" s="10" t="s">
        <v>281</v>
      </c>
      <c r="D40" s="16" t="s">
        <v>10</v>
      </c>
      <c r="E40" s="16">
        <v>6</v>
      </c>
      <c r="G40" s="16" t="s">
        <v>39</v>
      </c>
    </row>
    <row r="41" spans="1:7" hidden="1">
      <c r="A41" s="10" t="s">
        <v>277</v>
      </c>
      <c r="B41" s="10" t="s">
        <v>282</v>
      </c>
      <c r="D41" s="16" t="s">
        <v>10</v>
      </c>
      <c r="E41" s="16">
        <v>6</v>
      </c>
      <c r="G41" s="16" t="s">
        <v>39</v>
      </c>
    </row>
    <row r="42" spans="1:7">
      <c r="A42" s="10" t="s">
        <v>277</v>
      </c>
      <c r="B42" s="10" t="s">
        <v>283</v>
      </c>
      <c r="D42" s="16" t="s">
        <v>18</v>
      </c>
      <c r="E42" s="16">
        <v>0</v>
      </c>
      <c r="G42" s="16" t="s">
        <v>39</v>
      </c>
    </row>
    <row r="43" spans="1:7" hidden="1">
      <c r="A43" s="13" t="s">
        <v>38</v>
      </c>
      <c r="B43" s="10" t="s">
        <v>284</v>
      </c>
      <c r="C43" s="16" t="s">
        <v>257</v>
      </c>
      <c r="D43" s="16" t="s">
        <v>10</v>
      </c>
      <c r="E43" s="16">
        <v>1</v>
      </c>
      <c r="G43" s="16" t="s">
        <v>39</v>
      </c>
    </row>
    <row r="44" spans="1:7" hidden="1">
      <c r="A44" s="13" t="s">
        <v>38</v>
      </c>
      <c r="B44" s="10" t="s">
        <v>285</v>
      </c>
      <c r="C44" s="16" t="s">
        <v>5</v>
      </c>
      <c r="D44" s="16" t="s">
        <v>10</v>
      </c>
      <c r="E44" s="16">
        <v>8</v>
      </c>
      <c r="G44" s="16" t="s">
        <v>39</v>
      </c>
    </row>
    <row r="45" spans="1:7" hidden="1">
      <c r="A45" s="13" t="s">
        <v>38</v>
      </c>
      <c r="B45" s="10" t="s">
        <v>286</v>
      </c>
      <c r="C45" s="16" t="s">
        <v>5</v>
      </c>
      <c r="D45" s="16" t="s">
        <v>10</v>
      </c>
      <c r="E45" s="16">
        <v>6</v>
      </c>
      <c r="G45" s="16" t="s">
        <v>39</v>
      </c>
    </row>
    <row r="46" spans="1:7" hidden="1">
      <c r="A46" s="13" t="s">
        <v>38</v>
      </c>
      <c r="B46" s="10" t="s">
        <v>287</v>
      </c>
      <c r="C46" s="16" t="s">
        <v>5</v>
      </c>
      <c r="D46" s="16" t="s">
        <v>10</v>
      </c>
      <c r="E46" s="16">
        <v>8</v>
      </c>
      <c r="G46" s="16" t="s">
        <v>39</v>
      </c>
    </row>
    <row r="47" spans="1:7" hidden="1">
      <c r="A47" s="13" t="s">
        <v>38</v>
      </c>
      <c r="B47" s="10" t="s">
        <v>288</v>
      </c>
      <c r="C47" s="16" t="s">
        <v>5</v>
      </c>
      <c r="D47" s="16" t="s">
        <v>10</v>
      </c>
      <c r="E47" s="16">
        <v>8</v>
      </c>
      <c r="G47" s="16" t="s">
        <v>39</v>
      </c>
    </row>
    <row r="48" spans="1:7" hidden="1">
      <c r="A48" s="13" t="s">
        <v>38</v>
      </c>
      <c r="B48" s="10" t="s">
        <v>289</v>
      </c>
      <c r="C48" s="16" t="s">
        <v>5</v>
      </c>
      <c r="D48" s="16" t="s">
        <v>10</v>
      </c>
      <c r="E48" s="16">
        <v>4</v>
      </c>
      <c r="G48" s="16" t="s">
        <v>39</v>
      </c>
    </row>
    <row r="49" spans="1:7" hidden="1">
      <c r="A49" s="13" t="s">
        <v>38</v>
      </c>
      <c r="B49" s="10" t="s">
        <v>290</v>
      </c>
      <c r="C49" s="16" t="s">
        <v>5</v>
      </c>
      <c r="D49" s="16" t="s">
        <v>10</v>
      </c>
      <c r="E49" s="16">
        <v>12</v>
      </c>
      <c r="G49" s="16" t="s">
        <v>39</v>
      </c>
    </row>
    <row r="50" spans="1:7" hidden="1">
      <c r="A50" s="13" t="s">
        <v>38</v>
      </c>
      <c r="B50" s="10" t="s">
        <v>292</v>
      </c>
      <c r="C50" s="16" t="s">
        <v>5</v>
      </c>
      <c r="D50" s="16" t="s">
        <v>293</v>
      </c>
      <c r="E50" s="16">
        <v>12</v>
      </c>
      <c r="F50" s="10"/>
      <c r="G50" s="16" t="s">
        <v>39</v>
      </c>
    </row>
    <row r="52" spans="1:7">
      <c r="A52" s="10" t="s">
        <v>309</v>
      </c>
      <c r="B52" s="10" t="s">
        <v>310</v>
      </c>
    </row>
  </sheetData>
  <autoFilter ref="B2:G50" xr:uid="{00000000-0001-0000-0000-000000000000}">
    <filterColumn colId="2">
      <filters>
        <filter val="プロト"/>
      </filters>
    </filterColumn>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3"/>
  <sheetViews>
    <sheetView tabSelected="1" topLeftCell="A29" workbookViewId="0">
      <selection activeCell="C44" sqref="C44"/>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2026-07-06T07:03:49Z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