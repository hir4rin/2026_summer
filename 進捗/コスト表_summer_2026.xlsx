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tsyts\GitHub\2026_summer\進捗\"/>
    </mc:Choice>
  </mc:AlternateContent>
  <xr:revisionPtr revIDLastSave="0" documentId="13_ncr:1_{BF195D28-E0E1-4621-A983-DCDAFAA0B199}" xr6:coauthVersionLast="47" xr6:coauthVersionMax="47" xr10:uidLastSave="{00000000-0000-0000-0000-000000000000}"/>
  <bookViews>
    <workbookView xWindow="825" yWindow="4905" windowWidth="24810" windowHeight="11820" firstSheet="1" activeTab="3" xr2:uid="{00000000-000D-0000-FFFF-FFFF00000000}"/>
  </bookViews>
  <sheets>
    <sheet name="1125_元データ" sheetId="4" r:id="rId1"/>
    <sheet name="概要" sheetId="5" r:id="rId2"/>
    <sheet name="作業工数見積もり" sheetId="1" r:id="rId3"/>
    <sheet name="日記" sheetId="12" r:id="rId4"/>
    <sheet name="メモ" sheetId="9" r:id="rId5"/>
    <sheet name="カレンダー" sheetId="6" r:id="rId6"/>
    <sheet name="雑用" sheetId="10" r:id="rId7"/>
  </sheets>
  <definedNames>
    <definedName name="_xlnm._FilterDatabase" localSheetId="0" hidden="1">'1125_元データ'!$B$2:$G$106</definedName>
    <definedName name="_xlnm._FilterDatabase" localSheetId="2" hidden="1">作業工数見積もり!$C$2:$H$55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K7" i="1"/>
  <c r="L5" i="1"/>
  <c r="L6" i="1"/>
  <c r="L4" i="1"/>
  <c r="M5" i="1"/>
  <c r="M6" i="1"/>
  <c r="M4" i="1"/>
  <c r="M3" i="1"/>
  <c r="K5" i="1"/>
  <c r="K6" i="1"/>
  <c r="K4" i="1"/>
  <c r="C3" i="5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K3" i="1" l="1"/>
  <c r="E12" i="5"/>
  <c r="K4" i="4"/>
  <c r="L4" i="4" s="1"/>
  <c r="D5" i="5"/>
  <c r="E10" i="5"/>
  <c r="E11" i="5"/>
  <c r="M10" i="4"/>
  <c r="M9" i="4"/>
  <c r="M11" i="4"/>
</calcChain>
</file>

<file path=xl/sharedStrings.xml><?xml version="1.0" encoding="utf-8"?>
<sst xmlns="http://schemas.openxmlformats.org/spreadsheetml/2006/main" count="628" uniqueCount="235">
  <si>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</si>
  <si>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</si>
  <si>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</si>
  <si>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</si>
  <si>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</si>
  <si>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</si>
  <si>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</si>
  <si>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</si>
  <si>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</si>
  <si>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</si>
  <si>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</si>
  <si>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</si>
  <si>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</si>
  <si>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</si>
  <si>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</si>
  <si>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</si>
  <si>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</si>
  <si>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</si>
  <si>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</si>
  <si>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</si>
  <si>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</si>
  <si>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</si>
  <si>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</si>
  <si>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</si>
  <si>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</si>
  <si>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</si>
  <si>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</si>
  <si>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</si>
  <si>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</si>
  <si>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</si>
  <si>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</si>
  <si>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</si>
  <si>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</si>
  <si>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</si>
  <si>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</si>
  <si>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</si>
  <si>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</si>
  <si>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</si>
  <si>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</si>
  <si>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</si>
  <si>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</si>
  <si>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</si>
  <si>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</si>
  <si>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</si>
  <si>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</si>
  <si>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</si>
  <si>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</si>
  <si>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</si>
  <si>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</si>
  <si>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</si>
  <si>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</si>
  <si>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</si>
  <si>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</si>
  <si>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</si>
  <si>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</si>
  <si>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</si>
  <si>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</si>
  <si>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</si>
  <si>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</si>
  <si>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</si>
  <si>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</si>
  <si>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</si>
  <si>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</si>
  <si>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</si>
  <si>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</si>
  <si>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</si>
  <si>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</si>
  <si>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</si>
  <si>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</si>
  <si>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</si>
  <si>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</si>
  <si>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</si>
  <si>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</si>
  <si>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</si>
  <si>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</si>
  <si>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</si>
  <si>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</si>
  <si>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</si>
  <si>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</si>
  <si>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</si>
  <si>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</si>
  <si>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</si>
  <si>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</si>
  <si>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</si>
  <si>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</si>
  <si>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</si>
  <si>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</si>
  <si>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</si>
  <si>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</si>
  <si>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</si>
  <si>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</si>
  <si>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</si>
  <si>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</si>
  <si>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</si>
  <si>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</si>
  <si>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</si>
  <si>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</si>
  <si>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</si>
  <si>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</si>
  <si>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</si>
  <si>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</si>
  <si>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</si>
  <si>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</si>
  <si>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</si>
  <si>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</si>
  <si>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</si>
  <si>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</si>
  <si>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</si>
  <si>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</si>
  <si>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</si>
  <si>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</si>
  <si>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</si>
  <si>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</si>
  <si>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</si>
  <si>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</si>
  <si>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</si>
  <si>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</si>
  <si>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</si>
  <si>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</si>
  <si>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</si>
  <si>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</si>
  <si>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</si>
  <si>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</si>
  <si>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</si>
  <si>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</si>
  <si>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</si>
  <si>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</si>
  <si>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</si>
  <si>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</si>
  <si>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</si>
  <si>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</si>
  <si>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</si>
  <si>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</si>
  <si>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</si>
  <si>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UI素材</t>
    <rPh sb="2" eb="4">
      <t>ソザイ</t>
    </rPh>
    <phoneticPr fontId="1"/>
  </si>
  <si>
    <t>当たり判定</t>
    <rPh sb="0" eb="1">
      <t>ア</t>
    </rPh>
    <rPh sb="3" eb="5">
      <t>ハンテイ</t>
    </rPh>
    <phoneticPr fontId="1"/>
  </si>
  <si>
    <t>システム</t>
    <phoneticPr fontId="1"/>
  </si>
  <si>
    <t>未着手</t>
  </si>
  <si>
    <t>カメラ</t>
    <phoneticPr fontId="1"/>
  </si>
  <si>
    <t>ステージ</t>
    <phoneticPr fontId="1"/>
  </si>
  <si>
    <t>UI</t>
    <phoneticPr fontId="1"/>
  </si>
  <si>
    <t>表示、移動</t>
    <rPh sb="0" eb="2">
      <t>ヒョウジ</t>
    </rPh>
    <rPh sb="3" eb="5">
      <t>イドウ</t>
    </rPh>
    <phoneticPr fontId="1"/>
  </si>
  <si>
    <t>1コスト1時間</t>
    <rPh sb="5" eb="7">
      <t>ジカン</t>
    </rPh>
    <phoneticPr fontId="1"/>
  </si>
  <si>
    <t>プレイヤー</t>
    <phoneticPr fontId="1"/>
  </si>
  <si>
    <t>移動アニメーション</t>
    <phoneticPr fontId="1"/>
  </si>
  <si>
    <t>攻撃アニメーション</t>
    <rPh sb="0" eb="2">
      <t>コウゲキ</t>
    </rPh>
    <phoneticPr fontId="1"/>
  </si>
  <si>
    <t>4/13まで</t>
    <phoneticPr fontId="1"/>
  </si>
  <si>
    <t>敵</t>
    <rPh sb="0" eb="1">
      <t>テキ</t>
    </rPh>
    <phoneticPr fontId="1"/>
  </si>
  <si>
    <t>カメラの移動</t>
    <rPh sb="4" eb="6">
      <t>イドウ</t>
    </rPh>
    <phoneticPr fontId="1"/>
  </si>
  <si>
    <t>剣の表示</t>
    <rPh sb="0" eb="1">
      <t>ケン</t>
    </rPh>
    <rPh sb="2" eb="4">
      <t>ヒョウジ</t>
    </rPh>
    <phoneticPr fontId="1"/>
  </si>
  <si>
    <t>ゲームループ用のシステム</t>
    <rPh sb="6" eb="7">
      <t>ヨウ</t>
    </rPh>
    <phoneticPr fontId="1"/>
  </si>
  <si>
    <t>ステージの表示</t>
    <rPh sb="5" eb="7">
      <t>ヒョウジ</t>
    </rPh>
    <phoneticPr fontId="1"/>
  </si>
  <si>
    <t>攻撃と敵との当たり判定</t>
    <rPh sb="0" eb="2">
      <t>コウゲキ</t>
    </rPh>
    <rPh sb="3" eb="4">
      <t>テキ</t>
    </rPh>
    <rPh sb="6" eb="7">
      <t>ア</t>
    </rPh>
    <rPh sb="9" eb="11">
      <t>ハンテイ</t>
    </rPh>
    <phoneticPr fontId="1"/>
  </si>
  <si>
    <t>被弾アニメーション</t>
    <rPh sb="0" eb="2">
      <t>ヒダン</t>
    </rPh>
    <phoneticPr fontId="1"/>
  </si>
  <si>
    <t>モデル探し</t>
    <rPh sb="3" eb="4">
      <t>サガ</t>
    </rPh>
    <phoneticPr fontId="1"/>
  </si>
  <si>
    <t>BGM探し</t>
    <rPh sb="3" eb="4">
      <t>サガ</t>
    </rPh>
    <phoneticPr fontId="1"/>
  </si>
  <si>
    <t>SE探し</t>
    <rPh sb="2" eb="3">
      <t>サガ</t>
    </rPh>
    <phoneticPr fontId="1"/>
  </si>
  <si>
    <t>プレイヤーと敵との当たり判定</t>
    <rPh sb="6" eb="7">
      <t>テキ</t>
    </rPh>
    <rPh sb="9" eb="10">
      <t>ア</t>
    </rPh>
    <rPh sb="12" eb="14">
      <t>ハンテイ</t>
    </rPh>
    <phoneticPr fontId="1"/>
  </si>
  <si>
    <t>インゲーム中のシステム</t>
    <rPh sb="5" eb="6">
      <t>チュウ</t>
    </rPh>
    <phoneticPr fontId="1"/>
  </si>
  <si>
    <t>UX</t>
    <phoneticPr fontId="1"/>
  </si>
  <si>
    <t>日</t>
    <rPh sb="0" eb="1">
      <t>ニチ</t>
    </rPh>
    <phoneticPr fontId="1"/>
  </si>
  <si>
    <t>月</t>
  </si>
  <si>
    <t>火</t>
  </si>
  <si>
    <t>水</t>
  </si>
  <si>
    <t>木</t>
  </si>
  <si>
    <t>金</t>
  </si>
  <si>
    <t>土</t>
  </si>
  <si>
    <t>カメラに合わせたプレイヤーの移動、回転</t>
    <rPh sb="4" eb="5">
      <t>ア</t>
    </rPh>
    <rPh sb="14" eb="16">
      <t>イドウ</t>
    </rPh>
    <rPh sb="17" eb="19">
      <t>カイテン</t>
    </rPh>
    <phoneticPr fontId="1"/>
  </si>
  <si>
    <t>完了</t>
  </si>
  <si>
    <t>作業中(作業工数)</t>
    <rPh sb="0" eb="3">
      <t>サギョウチュウ</t>
    </rPh>
    <rPh sb="4" eb="8">
      <t>サギョウコウスウ</t>
    </rPh>
    <phoneticPr fontId="1"/>
  </si>
  <si>
    <t>実コスト</t>
    <rPh sb="0" eb="1">
      <t>ジツ</t>
    </rPh>
    <phoneticPr fontId="1"/>
  </si>
  <si>
    <t>予想コスト</t>
    <rPh sb="0" eb="2">
      <t>ヨソウ</t>
    </rPh>
    <phoneticPr fontId="1"/>
  </si>
  <si>
    <t>残りコスト</t>
    <rPh sb="0" eb="1">
      <t>ノコ</t>
    </rPh>
    <phoneticPr fontId="1"/>
  </si>
  <si>
    <t>全体の作業時間</t>
    <phoneticPr fontId="1"/>
  </si>
  <si>
    <t>×</t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</si>
  <si>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</si>
  <si>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</si>
  <si>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</si>
  <si>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</si>
  <si>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masuta</t>
    <phoneticPr fontId="1"/>
  </si>
  <si>
    <t>計81日</t>
    <rPh sb="0" eb="1">
      <t>ケイ</t>
    </rPh>
    <rPh sb="3" eb="4">
      <t>ニチ</t>
    </rPh>
    <phoneticPr fontId="1"/>
  </si>
  <si>
    <t>日数</t>
    <rPh sb="0" eb="2">
      <t>ニッスウ</t>
    </rPh>
    <phoneticPr fontId="1"/>
  </si>
  <si>
    <t>弱攻撃</t>
    <rPh sb="0" eb="1">
      <t>ジャク</t>
    </rPh>
    <rPh sb="1" eb="3">
      <t>コウゲキ</t>
    </rPh>
    <phoneticPr fontId="1"/>
  </si>
  <si>
    <t>強攻撃</t>
    <rPh sb="0" eb="3">
      <t>キョウコウゲキ</t>
    </rPh>
    <phoneticPr fontId="1"/>
  </si>
  <si>
    <t>コンボ攻撃</t>
    <rPh sb="3" eb="5">
      <t>コウゲキ</t>
    </rPh>
    <phoneticPr fontId="1"/>
  </si>
  <si>
    <t>攻撃当たり判定</t>
    <rPh sb="0" eb="2">
      <t>コウゲキ</t>
    </rPh>
    <rPh sb="2" eb="3">
      <t>ア</t>
    </rPh>
    <rPh sb="5" eb="7">
      <t>ハンテイ</t>
    </rPh>
    <phoneticPr fontId="1"/>
  </si>
  <si>
    <t>マップとの当たり判定</t>
    <rPh sb="5" eb="6">
      <t>ア</t>
    </rPh>
    <rPh sb="8" eb="10">
      <t>ハンテイ</t>
    </rPh>
    <phoneticPr fontId="1"/>
  </si>
  <si>
    <t>カメラの当たり判定</t>
    <rPh sb="4" eb="5">
      <t>ア</t>
    </rPh>
    <rPh sb="7" eb="9">
      <t>ハンテイ</t>
    </rPh>
    <phoneticPr fontId="1"/>
  </si>
  <si>
    <t>スキル</t>
    <phoneticPr fontId="1"/>
  </si>
  <si>
    <t>ウルト</t>
    <phoneticPr fontId="1"/>
  </si>
  <si>
    <t>ダッシュ</t>
    <phoneticPr fontId="1"/>
  </si>
  <si>
    <t>攻撃</t>
    <rPh sb="0" eb="2">
      <t>コウゲキ</t>
    </rPh>
    <phoneticPr fontId="1"/>
  </si>
  <si>
    <t>・Idle</t>
    <phoneticPr fontId="1"/>
  </si>
  <si>
    <t>・Attack</t>
    <phoneticPr fontId="1"/>
  </si>
  <si>
    <t>・Skill</t>
    <phoneticPr fontId="1"/>
  </si>
  <si>
    <t>・Ult</t>
    <phoneticPr fontId="1"/>
  </si>
  <si>
    <t>・Parry</t>
    <phoneticPr fontId="1"/>
  </si>
  <si>
    <t>・Dash</t>
    <phoneticPr fontId="1"/>
  </si>
  <si>
    <t>パリィ</t>
    <phoneticPr fontId="1"/>
  </si>
  <si>
    <t>ジャスト回避</t>
    <rPh sb="4" eb="6">
      <t>カイヒ</t>
    </rPh>
    <phoneticPr fontId="1"/>
  </si>
  <si>
    <t>ジャストパリィ反撃</t>
    <rPh sb="7" eb="9">
      <t>ハンゲキ</t>
    </rPh>
    <phoneticPr fontId="1"/>
  </si>
  <si>
    <t>ジャスト回避反撃</t>
    <rPh sb="4" eb="6">
      <t>カイヒ</t>
    </rPh>
    <rPh sb="6" eb="8">
      <t>ハンゲキ</t>
    </rPh>
    <phoneticPr fontId="1"/>
  </si>
  <si>
    <t>ジャストパリィ</t>
    <phoneticPr fontId="1"/>
  </si>
  <si>
    <t>ダッシュ攻撃</t>
    <rPh sb="4" eb="6">
      <t>コウゲキ</t>
    </rPh>
    <phoneticPr fontId="1"/>
  </si>
  <si>
    <t>S</t>
    <phoneticPr fontId="1"/>
  </si>
  <si>
    <t>・Idle</t>
    <phoneticPr fontId="1"/>
  </si>
  <si>
    <t>・Caution</t>
    <phoneticPr fontId="1"/>
  </si>
  <si>
    <t>警戒</t>
    <rPh sb="0" eb="2">
      <t>ケイカイ</t>
    </rPh>
    <phoneticPr fontId="1"/>
  </si>
  <si>
    <t>・Hit</t>
    <phoneticPr fontId="1"/>
  </si>
  <si>
    <t>・Dead</t>
    <phoneticPr fontId="1"/>
  </si>
  <si>
    <t>死亡</t>
    <rPh sb="0" eb="2">
      <t>シボウ</t>
    </rPh>
    <phoneticPr fontId="1"/>
  </si>
  <si>
    <t>プレイヤーのカメラ</t>
    <phoneticPr fontId="1"/>
  </si>
  <si>
    <t>player攻撃の演出カメラ</t>
    <rPh sb="0" eb="8">
      <t>プレイヤーコウゲキ</t>
    </rPh>
    <rPh sb="9" eb="11">
      <t>エンシュツ</t>
    </rPh>
    <phoneticPr fontId="1"/>
  </si>
  <si>
    <t>ヒットエフェクト、タイムスケール実装</t>
    <phoneticPr fontId="1"/>
  </si>
  <si>
    <t>ステージの表示</t>
    <rPh sb="5" eb="7">
      <t>ヒョウジ</t>
    </rPh>
    <phoneticPr fontId="1"/>
  </si>
  <si>
    <t>ステージの当たり判定</t>
    <rPh sb="5" eb="6">
      <t>ア</t>
    </rPh>
    <rPh sb="8" eb="10">
      <t>ハンテイ</t>
    </rPh>
    <phoneticPr fontId="1"/>
  </si>
  <si>
    <t>シーン遷移</t>
    <rPh sb="3" eb="5">
      <t>センイ</t>
    </rPh>
    <phoneticPr fontId="1"/>
  </si>
  <si>
    <t>・タイトルシーン</t>
    <phoneticPr fontId="1"/>
  </si>
  <si>
    <t>・ゲームシーン</t>
    <phoneticPr fontId="1"/>
  </si>
  <si>
    <t>・リザルトシーン</t>
    <phoneticPr fontId="1"/>
  </si>
  <si>
    <t>・セレクトシーン</t>
    <phoneticPr fontId="1"/>
  </si>
  <si>
    <t>・チュートリアル</t>
    <phoneticPr fontId="1"/>
  </si>
  <si>
    <t>・雑魚敵、中ボス、大ボス</t>
    <rPh sb="1" eb="4">
      <t>ザコテキ</t>
    </rPh>
    <rPh sb="5" eb="6">
      <t>チュウ</t>
    </rPh>
    <rPh sb="9" eb="10">
      <t>オオ</t>
    </rPh>
    <phoneticPr fontId="1"/>
  </si>
  <si>
    <t>制作手順</t>
    <rPh sb="0" eb="4">
      <t>セイサクテジュン</t>
    </rPh>
    <phoneticPr fontId="1"/>
  </si>
  <si>
    <t>シーン遷移の流れ</t>
    <rPh sb="3" eb="5">
      <t>センイ</t>
    </rPh>
    <rPh sb="6" eb="7">
      <t>ナガ</t>
    </rPh>
    <phoneticPr fontId="1"/>
  </si>
  <si>
    <t>プレイヤーを作る</t>
    <rPh sb="6" eb="7">
      <t>ツク</t>
    </rPh>
    <phoneticPr fontId="1"/>
  </si>
  <si>
    <t>敵を作る</t>
    <rPh sb="0" eb="1">
      <t>テキ</t>
    </rPh>
    <rPh sb="2" eb="3">
      <t>ツク</t>
    </rPh>
    <phoneticPr fontId="1"/>
  </si>
  <si>
    <t>中ボス、ボスを作る</t>
    <rPh sb="0" eb="1">
      <t>チュウ</t>
    </rPh>
    <rPh sb="7" eb="8">
      <t>ツク</t>
    </rPh>
    <phoneticPr fontId="1"/>
  </si>
  <si>
    <t>キャラクタークラスをつくる</t>
    <phoneticPr fontId="1"/>
  </si>
  <si>
    <t>必須：入力バッファのシステムがいる！！！</t>
    <rPh sb="0" eb="2">
      <t>ヒッス</t>
    </rPh>
    <rPh sb="3" eb="5">
      <t>ニュウリョク</t>
    </rPh>
    <phoneticPr fontId="1"/>
  </si>
  <si>
    <t>月日</t>
    <rPh sb="0" eb="2">
      <t>ツキヒ</t>
    </rPh>
    <phoneticPr fontId="1"/>
  </si>
  <si>
    <t>時間</t>
    <rPh sb="0" eb="2">
      <t>ジカン</t>
    </rPh>
    <phoneticPr fontId="1"/>
  </si>
  <si>
    <t>メモ</t>
    <phoneticPr fontId="1"/>
  </si>
  <si>
    <t>8時間</t>
    <rPh sb="1" eb="3">
      <t>ジカン</t>
    </rPh>
    <phoneticPr fontId="1"/>
  </si>
  <si>
    <t>シーンコントローラー、Input,とかの基盤を作った、Playerクラスの基底クラスの基盤を作った、PlayerのStatePatternを作っている途中</t>
    <rPh sb="20" eb="22">
      <t>キバン</t>
    </rPh>
    <rPh sb="23" eb="24">
      <t>ツク</t>
    </rPh>
    <rPh sb="37" eb="39">
      <t>キテイ</t>
    </rPh>
    <rPh sb="43" eb="45">
      <t>キバン</t>
    </rPh>
    <rPh sb="46" eb="47">
      <t>ツク</t>
    </rPh>
    <rPh sb="70" eb="71">
      <t>ツク</t>
    </rPh>
    <rPh sb="75" eb="77">
      <t>トチュウ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</si>
</sst>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b/>
      <sz val="11"/>
      <color theme="1"/>
      <name val="Yu Gothic"/>
      <family val="2"/>
      <scheme val="minor"/>
    </font>
    <font>
      <sz val="11"/>
      <color theme="5" tint="0.59999389629810485"/>
      <name val="Yu Gothic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2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0" fillId="13" borderId="3" xfId="0" applyFill="1" applyBorder="1"/>
    <xf numFmtId="0" fontId="5" fillId="14" borderId="3" xfId="0" applyFont="1" applyFill="1" applyBorder="1"/>
    <xf numFmtId="0" fontId="5" fillId="14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5" borderId="3" xfId="0" applyFill="1" applyBorder="1"/>
    <xf numFmtId="0" fontId="0" fillId="16" borderId="3" xfId="0" applyFill="1" applyBorder="1"/>
    <xf numFmtId="0" fontId="0" fillId="8" borderId="3" xfId="0" applyFill="1" applyBorder="1"/>
    <xf numFmtId="0" fontId="0" fillId="17" borderId="3" xfId="0" applyFill="1" applyBorder="1"/>
    <xf numFmtId="0" fontId="0" fillId="19" borderId="3" xfId="0" applyFill="1" applyBorder="1"/>
    <xf numFmtId="0" fontId="0" fillId="20" borderId="3" xfId="0" applyFill="1" applyBorder="1"/>
    <xf numFmtId="0" fontId="0" fillId="21" borderId="3" xfId="0" applyFill="1" applyBorder="1"/>
    <xf numFmtId="56" fontId="0" fillId="0" borderId="3" xfId="0" applyNumberFormat="1" applyBorder="1"/>
    <xf numFmtId="0" fontId="2" fillId="12" borderId="3" xfId="0" applyFont="1" applyFill="1" applyBorder="1" applyAlignment="1">
      <alignment horizontal="center" vertical="center"/>
    </xf>
    <xf numFmtId="0" fontId="2" fillId="22" borderId="3" xfId="0" applyFont="1" applyFill="1" applyBorder="1"/>
    <xf numFmtId="0" fontId="2" fillId="23" borderId="3" xfId="0" applyFont="1" applyFill="1" applyBorder="1"/>
    <xf numFmtId="0" fontId="2" fillId="18" borderId="3" xfId="0" applyFont="1" applyFill="1" applyBorder="1"/>
    <xf numFmtId="0" fontId="7" fillId="12" borderId="3" xfId="0" applyFont="1" applyFill="1" applyBorder="1" applyAlignment="1">
      <alignment horizontal="center" vertical="center"/>
    </xf>
    <xf numFmtId="0" fontId="0" fillId="12" borderId="3" xfId="1" applyNumberFormat="1" applyFont="1" applyFill="1" applyBorder="1" applyAlignment="1"/>
    <xf numFmtId="0" fontId="0" fillId="3" borderId="3" xfId="0" applyFill="1" applyBorder="1"/>
    <xf numFmtId="0" fontId="0" fillId="2" borderId="3" xfId="0" applyFill="1" applyBorder="1"/>
    <xf numFmtId="0" fontId="0" fillId="12" borderId="0" xfId="0" applyFill="1"/>
    <xf numFmtId="0" fontId="8" fillId="9" borderId="3" xfId="0" applyFont="1" applyFill="1" applyBorder="1"/>
    <xf numFmtId="0" fontId="0" fillId="24" borderId="3" xfId="0" applyFill="1" applyBorder="1"/>
    <xf numFmtId="0" fontId="0" fillId="3" borderId="0" xfId="0" applyFill="1"/>
    <xf numFmtId="0" fontId="0" fillId="24" borderId="0" xfId="0" applyFill="1"/>
    <xf numFmtId="0" fontId="0" fillId="18" borderId="3" xfId="0" applyFill="1" applyBorder="1"/>
    <xf numFmtId="0" fontId="0" fillId="25" borderId="3" xfId="0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33CCFF"/>
      <color rgb="FF99FF33"/>
      <color rgb="FFFFFFCC"/>
      <color rgb="FF9933FF"/>
      <color rgb="FFFF3300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8.75"/>
  <cols>
    <col min="1" max="1" width="32.75" bestFit="1" customWidth="1"/>
    <col min="2" max="2" width="46.375" bestFit="1" customWidth="1"/>
    <col min="3" max="3" width="11.75" style="15" bestFit="1" customWidth="1"/>
    <col min="4" max="4" width="15.25" style="15" bestFit="1" customWidth="1"/>
    <col min="5" max="5" width="7.375" bestFit="1" customWidth="1"/>
    <col min="6" max="6" width="9.25" bestFit="1" customWidth="1"/>
    <col min="7" max="7" width="7.625" customWidth="1"/>
    <col min="9" max="9" width="7.125" bestFit="1" customWidth="1"/>
    <col min="10" max="10" width="33" bestFit="1" customWidth="1"/>
    <col min="11" max="11" width="17.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402</v>
      </c>
      <c r="L4" s="3">
        <f ca="1" xml:space="preserve"> K3 / K4</f>
        <v>6.5920398009950254E-2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46166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-371</v>
      </c>
      <c r="M9" s="3">
        <f ca="1">($K$2 - $K$3) / L9</f>
        <v>-0.24797843665768193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-351</v>
      </c>
      <c r="M10" s="3">
        <f ca="1">($K$2 - $K$3) / L10</f>
        <v>-0.2621082621082621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-340</v>
      </c>
      <c r="M11" s="3">
        <f ca="1">($K$2 - $K$3) / L11</f>
        <v>-0.27058823529411763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9" sqref="C9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6" t="s">
        <v>7</v>
      </c>
      <c r="C3">
        <f>SUM(作業工数見積もり!F3:F84)</f>
        <v>58</v>
      </c>
    </row>
    <row r="4" spans="2:5">
      <c r="B4" s="7" t="s">
        <v>10</v>
      </c>
      <c r="C4">
        <f>SUMIF(作業工数見積もり!H3:H37,"完了",作業工数見積もり!F3:F37)</f>
        <v>38</v>
      </c>
      <c r="D4" t="s">
        <v>11</v>
      </c>
    </row>
    <row r="5" spans="2:5">
      <c r="B5" s="8" t="s">
        <v>13</v>
      </c>
      <c r="C5" s="2">
        <f ca="1">NETWORKDAYS(C6,C7)</f>
        <v>402</v>
      </c>
      <c r="D5" s="3">
        <f ca="1" xml:space="preserve"> C4 / C5</f>
        <v>9.4527363184079602E-2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46166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-371</v>
      </c>
      <c r="E10" s="3">
        <f ca="1">($C$3 - $C$4) / D10</f>
        <v>-5.3908355795148251E-2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-351</v>
      </c>
      <c r="E11" s="3">
        <f ca="1">($C$3 - $C$4) / D11</f>
        <v>-5.6980056980056981E-2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-340</v>
      </c>
      <c r="E12" s="3">
        <f ca="1">($C$3 - $C$4) / D12</f>
        <v>-5.8823529411764705E-2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6">
        <v>45631</v>
      </c>
    </row>
    <row r="25" spans="2:4">
      <c r="B25" s="21" t="s">
        <v>1</v>
      </c>
      <c r="C25" s="36">
        <v>45662</v>
      </c>
    </row>
    <row r="26" spans="2:4">
      <c r="B26" s="21" t="s">
        <v>127</v>
      </c>
      <c r="C26" s="36">
        <v>45677</v>
      </c>
    </row>
    <row r="27" spans="2:4">
      <c r="B27" s="21" t="s">
        <v>128</v>
      </c>
      <c r="C27" s="36">
        <v>45682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63"/>
  <sheetViews>
    <sheetView zoomScale="85" zoomScaleNormal="85" workbookViewId="0">
      <selection activeCell="C36" sqref="C36"/>
    </sheetView>
  </sheetViews>
  <sheetFormatPr defaultRowHeight="18.75" outlineLevelRow="1"/>
  <cols>
    <col min="1" max="1" width="32.75" style="21" bestFit="1" customWidth="1"/>
    <col min="2" max="2" width="69.625" style="21" bestFit="1" customWidth="1"/>
    <col min="3" max="3" width="42.625" style="21" bestFit="1" customWidth="1"/>
    <col min="4" max="4" width="15.375" style="28" bestFit="1" customWidth="1"/>
    <col min="5" max="5" width="19.25" style="28" bestFit="1" customWidth="1"/>
    <col min="6" max="7" width="17.125" style="28" bestFit="1" customWidth="1"/>
    <col min="8" max="8" width="19.25" style="28" bestFit="1" customWidth="1"/>
    <col min="9" max="9" width="9" style="21"/>
    <col min="10" max="10" width="18.125" style="21" bestFit="1" customWidth="1"/>
    <col min="11" max="12" width="11.5" style="21" bestFit="1" customWidth="1"/>
    <col min="13" max="13" width="9.5" style="21" bestFit="1" customWidth="1"/>
    <col min="14" max="16384" width="9" style="21"/>
  </cols>
  <sheetData>
    <row r="1" spans="2:13">
      <c r="B1" s="21" t="s">
        <v>142</v>
      </c>
      <c r="C1" s="21" t="s">
        <v>146</v>
      </c>
    </row>
    <row r="2" spans="2:13">
      <c r="B2" s="26" t="s">
        <v>129</v>
      </c>
      <c r="C2" s="26" t="s">
        <v>130</v>
      </c>
      <c r="D2" s="27" t="s">
        <v>2</v>
      </c>
      <c r="E2" s="27" t="s">
        <v>3</v>
      </c>
      <c r="F2" s="27" t="s">
        <v>131</v>
      </c>
      <c r="G2" s="27" t="s">
        <v>5</v>
      </c>
      <c r="H2" s="27" t="s">
        <v>132</v>
      </c>
      <c r="K2" s="21" t="s">
        <v>171</v>
      </c>
      <c r="L2" s="21" t="s">
        <v>172</v>
      </c>
      <c r="M2" s="21" t="s">
        <v>170</v>
      </c>
    </row>
    <row r="3" spans="2:13">
      <c r="B3" s="29" t="s">
        <v>133</v>
      </c>
      <c r="C3" s="21" t="s">
        <v>154</v>
      </c>
      <c r="D3" s="28" t="s">
        <v>9</v>
      </c>
      <c r="E3" s="28" t="s">
        <v>34</v>
      </c>
      <c r="F3" s="28">
        <v>1</v>
      </c>
      <c r="G3" s="28">
        <v>1</v>
      </c>
      <c r="H3" s="28" t="s">
        <v>137</v>
      </c>
      <c r="J3" s="37" t="s">
        <v>173</v>
      </c>
      <c r="K3" s="21">
        <f ca="1">SUM(K4,K5,K6)</f>
        <v>53</v>
      </c>
      <c r="L3" s="21">
        <f>SUMIFS(F3:F54,H3:H54,"未着手")</f>
        <v>13.5</v>
      </c>
      <c r="M3" s="21">
        <f>SUM(G3:G54)</f>
        <v>42</v>
      </c>
    </row>
    <row r="4" spans="2:13">
      <c r="B4" s="29" t="s">
        <v>133</v>
      </c>
      <c r="C4" s="21" t="s">
        <v>155</v>
      </c>
      <c r="D4" s="28" t="s">
        <v>25</v>
      </c>
      <c r="E4" s="28" t="s">
        <v>18</v>
      </c>
      <c r="F4" s="28">
        <v>0.5</v>
      </c>
      <c r="H4" s="28" t="s">
        <v>137</v>
      </c>
      <c r="J4" s="38" t="s">
        <v>126</v>
      </c>
      <c r="K4" s="42">
        <f ca="1">SUMIF(E3:E52,J4,F3:F51)</f>
        <v>39.5</v>
      </c>
      <c r="L4" s="21">
        <f>SUMIFS($F$3:$F$54,$H$3:$H$54,"未着手",$E$3:$E$54,J4)</f>
        <v>1</v>
      </c>
      <c r="M4" s="21">
        <f>SUMIFS(G3:G54,E3:E54,J4)</f>
        <v>39.5</v>
      </c>
    </row>
    <row r="5" spans="2:13">
      <c r="B5" s="29" t="s">
        <v>133</v>
      </c>
      <c r="C5" s="21" t="s">
        <v>156</v>
      </c>
      <c r="D5" s="28" t="s">
        <v>25</v>
      </c>
      <c r="E5" s="28" t="s">
        <v>18</v>
      </c>
      <c r="F5" s="28">
        <v>0.5</v>
      </c>
      <c r="H5" s="28" t="s">
        <v>137</v>
      </c>
      <c r="J5" s="39" t="s">
        <v>1</v>
      </c>
      <c r="K5" s="42">
        <f ca="1">SUMIF(E4:E54,J5,F4:F52)</f>
        <v>13.5</v>
      </c>
      <c r="L5" s="21">
        <f>SUMIFS($F$3:$F$54,$H$3:$H$54,"未着手",$E$3:$E$54,J5)</f>
        <v>12.5</v>
      </c>
      <c r="M5" s="21">
        <f>SUMIFS(G4:G55,E4:E55,J5)</f>
        <v>2.5</v>
      </c>
    </row>
    <row r="6" spans="2:13">
      <c r="B6" s="29" t="s">
        <v>133</v>
      </c>
      <c r="C6" s="21" t="s">
        <v>134</v>
      </c>
      <c r="D6" s="28" t="s">
        <v>25</v>
      </c>
      <c r="E6" s="28" t="s">
        <v>18</v>
      </c>
      <c r="F6" s="28">
        <v>0.5</v>
      </c>
      <c r="H6" s="28" t="s">
        <v>137</v>
      </c>
      <c r="J6" s="40" t="s">
        <v>127</v>
      </c>
      <c r="K6" s="42">
        <f ca="1">SUMIF(E5:E55,J6,F5:F54)</f>
        <v>0</v>
      </c>
      <c r="L6" s="21">
        <f>SUMIFS($F$3:$F$54,$H$3:$H$54,"未着手",$E$3:$E$54,J6)</f>
        <v>0</v>
      </c>
      <c r="M6" s="21">
        <f>SUMIFS(G5:G55,E5:E55,J6)</f>
        <v>0</v>
      </c>
    </row>
    <row r="7" spans="2:13">
      <c r="B7" s="30" t="s">
        <v>135</v>
      </c>
      <c r="C7" s="21" t="s">
        <v>152</v>
      </c>
      <c r="D7" s="28" t="s">
        <v>9</v>
      </c>
      <c r="E7" s="28" t="s">
        <v>18</v>
      </c>
      <c r="F7" s="28">
        <v>0.5</v>
      </c>
      <c r="G7" s="28">
        <v>2</v>
      </c>
      <c r="H7" s="28" t="s">
        <v>168</v>
      </c>
      <c r="J7" s="37" t="s">
        <v>169</v>
      </c>
      <c r="K7" s="21">
        <f>COUNTIF(H3:H52,"作業中")</f>
        <v>0</v>
      </c>
    </row>
    <row r="8" spans="2:13">
      <c r="B8" s="30" t="s">
        <v>135</v>
      </c>
      <c r="C8" s="21" t="s">
        <v>157</v>
      </c>
      <c r="D8" s="28" t="s">
        <v>25</v>
      </c>
      <c r="E8" s="28" t="s">
        <v>34</v>
      </c>
      <c r="F8" s="28">
        <v>2</v>
      </c>
      <c r="G8" s="28">
        <v>3</v>
      </c>
      <c r="H8" s="28" t="s">
        <v>168</v>
      </c>
    </row>
    <row r="9" spans="2:13">
      <c r="B9" s="30" t="s">
        <v>135</v>
      </c>
      <c r="C9" s="21" t="s">
        <v>186</v>
      </c>
    </row>
    <row r="10" spans="2:13">
      <c r="B10" s="30" t="s">
        <v>135</v>
      </c>
      <c r="C10" s="21" t="s">
        <v>187</v>
      </c>
    </row>
    <row r="11" spans="2:13">
      <c r="B11" s="31" t="s">
        <v>143</v>
      </c>
      <c r="C11" s="21" t="s">
        <v>192</v>
      </c>
      <c r="E11" s="28" t="s">
        <v>34</v>
      </c>
    </row>
    <row r="12" spans="2:13" outlineLevel="1">
      <c r="B12" s="31" t="s">
        <v>143</v>
      </c>
      <c r="C12" s="21" t="s">
        <v>141</v>
      </c>
      <c r="D12" s="28" t="s">
        <v>9</v>
      </c>
      <c r="E12" s="28" t="s">
        <v>34</v>
      </c>
      <c r="F12" s="28">
        <v>1</v>
      </c>
      <c r="G12" s="28">
        <v>5</v>
      </c>
      <c r="H12" s="28" t="s">
        <v>168</v>
      </c>
    </row>
    <row r="13" spans="2:13" outlineLevel="1">
      <c r="B13" s="31" t="s">
        <v>143</v>
      </c>
      <c r="C13" s="21" t="s">
        <v>167</v>
      </c>
      <c r="D13" s="28" t="s">
        <v>9</v>
      </c>
      <c r="E13" s="28" t="s">
        <v>34</v>
      </c>
      <c r="F13" s="28">
        <v>1</v>
      </c>
      <c r="G13" s="28">
        <v>7</v>
      </c>
      <c r="H13" s="28" t="s">
        <v>168</v>
      </c>
    </row>
    <row r="14" spans="2:13">
      <c r="B14" s="31" t="s">
        <v>143</v>
      </c>
      <c r="C14" s="21" t="s">
        <v>193</v>
      </c>
      <c r="E14" s="28" t="s">
        <v>34</v>
      </c>
    </row>
    <row r="15" spans="2:13" outlineLevel="1">
      <c r="B15" s="31" t="s">
        <v>143</v>
      </c>
      <c r="C15" s="21" t="s">
        <v>182</v>
      </c>
      <c r="D15" s="28" t="s">
        <v>9</v>
      </c>
      <c r="E15" s="28" t="s">
        <v>34</v>
      </c>
      <c r="F15" s="28">
        <v>2</v>
      </c>
      <c r="G15" s="28">
        <v>2</v>
      </c>
      <c r="H15" s="28" t="s">
        <v>168</v>
      </c>
    </row>
    <row r="16" spans="2:13" outlineLevel="1">
      <c r="B16" s="31" t="s">
        <v>143</v>
      </c>
      <c r="C16" s="21" t="s">
        <v>183</v>
      </c>
      <c r="D16" s="28" t="s">
        <v>9</v>
      </c>
      <c r="E16" s="28" t="s">
        <v>34</v>
      </c>
      <c r="F16" s="28">
        <v>1</v>
      </c>
      <c r="G16" s="28">
        <v>1</v>
      </c>
      <c r="H16" s="28" t="s">
        <v>168</v>
      </c>
    </row>
    <row r="17" spans="2:8" outlineLevel="1">
      <c r="B17" s="31" t="s">
        <v>143</v>
      </c>
      <c r="C17" s="21" t="s">
        <v>184</v>
      </c>
      <c r="D17" s="28" t="s">
        <v>9</v>
      </c>
      <c r="E17" s="28" t="s">
        <v>34</v>
      </c>
      <c r="F17" s="28">
        <v>1</v>
      </c>
      <c r="G17" s="28">
        <v>1</v>
      </c>
      <c r="H17" s="28" t="s">
        <v>168</v>
      </c>
    </row>
    <row r="18" spans="2:8" outlineLevel="1">
      <c r="B18" s="31" t="s">
        <v>143</v>
      </c>
      <c r="E18" s="28" t="s">
        <v>34</v>
      </c>
    </row>
    <row r="19" spans="2:8">
      <c r="B19" s="31" t="s">
        <v>143</v>
      </c>
      <c r="C19" s="21" t="s">
        <v>194</v>
      </c>
      <c r="E19" s="28" t="s">
        <v>34</v>
      </c>
    </row>
    <row r="20" spans="2:8" outlineLevel="1">
      <c r="B20" s="31" t="s">
        <v>143</v>
      </c>
      <c r="C20" s="21" t="s">
        <v>188</v>
      </c>
      <c r="D20" s="28" t="s">
        <v>9</v>
      </c>
      <c r="E20" s="28" t="s">
        <v>34</v>
      </c>
      <c r="F20" s="28">
        <v>8</v>
      </c>
      <c r="G20" s="28" t="s">
        <v>174</v>
      </c>
      <c r="H20" s="28" t="s">
        <v>168</v>
      </c>
    </row>
    <row r="21" spans="2:8">
      <c r="B21" s="31" t="s">
        <v>143</v>
      </c>
      <c r="C21" s="21" t="s">
        <v>195</v>
      </c>
      <c r="E21" s="28" t="s">
        <v>34</v>
      </c>
    </row>
    <row r="22" spans="2:8" outlineLevel="1">
      <c r="B22" s="31" t="s">
        <v>143</v>
      </c>
      <c r="C22" s="21" t="s">
        <v>189</v>
      </c>
      <c r="D22" s="28" t="s">
        <v>204</v>
      </c>
      <c r="E22" s="28" t="s">
        <v>34</v>
      </c>
    </row>
    <row r="23" spans="2:8">
      <c r="B23" s="31" t="s">
        <v>143</v>
      </c>
      <c r="C23" s="21" t="s">
        <v>197</v>
      </c>
      <c r="E23" s="28" t="s">
        <v>34</v>
      </c>
    </row>
    <row r="24" spans="2:8" outlineLevel="1">
      <c r="B24" s="31" t="s">
        <v>143</v>
      </c>
      <c r="C24" s="21" t="s">
        <v>190</v>
      </c>
      <c r="D24" s="28" t="s">
        <v>9</v>
      </c>
      <c r="E24" s="28" t="s">
        <v>34</v>
      </c>
      <c r="F24" s="28">
        <v>8</v>
      </c>
      <c r="G24" s="28">
        <v>4</v>
      </c>
      <c r="H24" s="28" t="s">
        <v>168</v>
      </c>
    </row>
    <row r="25" spans="2:8" outlineLevel="1">
      <c r="B25" s="31" t="s">
        <v>143</v>
      </c>
      <c r="C25" s="21" t="s">
        <v>203</v>
      </c>
      <c r="E25" s="28" t="s">
        <v>34</v>
      </c>
    </row>
    <row r="26" spans="2:8" outlineLevel="1">
      <c r="B26" s="31" t="s">
        <v>143</v>
      </c>
      <c r="C26" s="21" t="s">
        <v>199</v>
      </c>
      <c r="E26" s="28" t="s">
        <v>34</v>
      </c>
    </row>
    <row r="27" spans="2:8" outlineLevel="1">
      <c r="B27" s="31" t="s">
        <v>143</v>
      </c>
      <c r="C27" s="21" t="s">
        <v>201</v>
      </c>
      <c r="E27" s="28" t="s">
        <v>34</v>
      </c>
    </row>
    <row r="28" spans="2:8">
      <c r="B28" s="31" t="s">
        <v>143</v>
      </c>
      <c r="C28" s="21" t="s">
        <v>196</v>
      </c>
      <c r="E28" s="28" t="s">
        <v>34</v>
      </c>
    </row>
    <row r="29" spans="2:8" outlineLevel="1">
      <c r="B29" s="31" t="s">
        <v>143</v>
      </c>
      <c r="C29" s="21" t="s">
        <v>198</v>
      </c>
      <c r="E29" s="28" t="s">
        <v>34</v>
      </c>
    </row>
    <row r="30" spans="2:8" outlineLevel="1">
      <c r="B30" s="31" t="s">
        <v>143</v>
      </c>
      <c r="C30" s="21" t="s">
        <v>202</v>
      </c>
      <c r="E30" s="28" t="s">
        <v>34</v>
      </c>
    </row>
    <row r="31" spans="2:8" outlineLevel="1">
      <c r="B31" s="31" t="s">
        <v>143</v>
      </c>
      <c r="C31" s="21" t="s">
        <v>200</v>
      </c>
      <c r="E31" s="28" t="s">
        <v>34</v>
      </c>
    </row>
    <row r="32" spans="2:8">
      <c r="B32" s="31" t="s">
        <v>143</v>
      </c>
      <c r="C32" s="21" t="s">
        <v>185</v>
      </c>
      <c r="D32" s="28" t="s">
        <v>9</v>
      </c>
      <c r="E32" s="28" t="s">
        <v>34</v>
      </c>
      <c r="F32" s="28">
        <v>1</v>
      </c>
      <c r="G32" s="28">
        <v>4</v>
      </c>
      <c r="H32" s="28" t="s">
        <v>168</v>
      </c>
    </row>
    <row r="33" spans="2:8">
      <c r="B33" s="31" t="s">
        <v>143</v>
      </c>
      <c r="C33" s="21" t="s">
        <v>144</v>
      </c>
      <c r="D33" s="28" t="s">
        <v>9</v>
      </c>
      <c r="E33" s="28" t="s">
        <v>34</v>
      </c>
      <c r="F33" s="28">
        <v>2</v>
      </c>
      <c r="G33" s="28">
        <v>2</v>
      </c>
      <c r="H33" s="28" t="s">
        <v>168</v>
      </c>
    </row>
    <row r="34" spans="2:8">
      <c r="B34" s="31" t="s">
        <v>143</v>
      </c>
      <c r="C34" s="21" t="s">
        <v>145</v>
      </c>
      <c r="D34" s="28" t="s">
        <v>9</v>
      </c>
      <c r="E34" s="28" t="s">
        <v>34</v>
      </c>
      <c r="F34" s="28">
        <v>2</v>
      </c>
      <c r="G34" s="28">
        <v>3</v>
      </c>
      <c r="H34" s="28" t="s">
        <v>168</v>
      </c>
    </row>
    <row r="35" spans="2:8">
      <c r="B35" s="31" t="s">
        <v>143</v>
      </c>
      <c r="C35" s="21" t="s">
        <v>149</v>
      </c>
      <c r="D35" s="28" t="s">
        <v>9</v>
      </c>
      <c r="E35" s="28" t="s">
        <v>34</v>
      </c>
      <c r="F35" s="28">
        <v>8</v>
      </c>
      <c r="G35" s="28">
        <v>3</v>
      </c>
      <c r="H35" s="28" t="s">
        <v>168</v>
      </c>
    </row>
    <row r="36" spans="2:8">
      <c r="B36" s="32" t="s">
        <v>147</v>
      </c>
      <c r="C36" s="21" t="s">
        <v>222</v>
      </c>
    </row>
    <row r="37" spans="2:8">
      <c r="B37" s="32" t="s">
        <v>147</v>
      </c>
      <c r="C37" s="21" t="s">
        <v>205</v>
      </c>
      <c r="D37" s="28" t="s">
        <v>9</v>
      </c>
      <c r="E37" s="28" t="s">
        <v>34</v>
      </c>
      <c r="F37" s="28">
        <v>0.5</v>
      </c>
      <c r="G37" s="28">
        <v>0.5</v>
      </c>
      <c r="H37" s="28" t="s">
        <v>168</v>
      </c>
    </row>
    <row r="38" spans="2:8">
      <c r="B38" s="32" t="s">
        <v>147</v>
      </c>
      <c r="C38" s="21" t="s">
        <v>141</v>
      </c>
      <c r="D38" s="28" t="s">
        <v>17</v>
      </c>
      <c r="E38" s="28" t="s">
        <v>18</v>
      </c>
      <c r="F38" s="28">
        <v>0.5</v>
      </c>
      <c r="G38" s="28">
        <v>0.5</v>
      </c>
      <c r="H38" s="28" t="s">
        <v>168</v>
      </c>
    </row>
    <row r="39" spans="2:8">
      <c r="B39" s="32" t="s">
        <v>147</v>
      </c>
      <c r="C39" s="21" t="s">
        <v>193</v>
      </c>
    </row>
    <row r="40" spans="2:8">
      <c r="B40" s="32" t="s">
        <v>147</v>
      </c>
      <c r="C40" s="21" t="s">
        <v>191</v>
      </c>
    </row>
    <row r="41" spans="2:8">
      <c r="B41" s="32" t="s">
        <v>147</v>
      </c>
      <c r="C41" s="21" t="s">
        <v>206</v>
      </c>
    </row>
    <row r="42" spans="2:8">
      <c r="B42" s="32" t="s">
        <v>147</v>
      </c>
      <c r="C42" s="21" t="s">
        <v>207</v>
      </c>
    </row>
    <row r="43" spans="2:8">
      <c r="B43" s="32" t="s">
        <v>147</v>
      </c>
      <c r="C43" s="21" t="s">
        <v>208</v>
      </c>
    </row>
    <row r="44" spans="2:8">
      <c r="B44" s="32" t="s">
        <v>147</v>
      </c>
      <c r="C44" s="21" t="s">
        <v>153</v>
      </c>
      <c r="D44" s="28" t="s">
        <v>17</v>
      </c>
      <c r="E44" s="28" t="s">
        <v>18</v>
      </c>
      <c r="F44" s="28">
        <v>2</v>
      </c>
      <c r="H44" s="28" t="s">
        <v>137</v>
      </c>
    </row>
    <row r="45" spans="2:8">
      <c r="B45" s="32" t="s">
        <v>147</v>
      </c>
      <c r="C45" s="21" t="s">
        <v>209</v>
      </c>
    </row>
    <row r="46" spans="2:8">
      <c r="B46" s="32" t="s">
        <v>147</v>
      </c>
      <c r="C46" s="21" t="s">
        <v>210</v>
      </c>
    </row>
    <row r="47" spans="2:8">
      <c r="B47" s="32" t="s">
        <v>147</v>
      </c>
      <c r="C47" s="21" t="s">
        <v>148</v>
      </c>
      <c r="D47" s="28" t="s">
        <v>17</v>
      </c>
      <c r="E47" s="28" t="s">
        <v>34</v>
      </c>
      <c r="F47" s="28">
        <v>1</v>
      </c>
      <c r="G47" s="28">
        <v>3</v>
      </c>
      <c r="H47" s="28" t="s">
        <v>168</v>
      </c>
    </row>
    <row r="48" spans="2:8">
      <c r="B48" s="33" t="s">
        <v>138</v>
      </c>
      <c r="C48" s="21" t="s">
        <v>211</v>
      </c>
    </row>
    <row r="49" spans="2:8">
      <c r="B49" s="33" t="s">
        <v>138</v>
      </c>
      <c r="C49" s="21" t="s">
        <v>212</v>
      </c>
    </row>
    <row r="50" spans="2:8">
      <c r="B50" s="33" t="s">
        <v>138</v>
      </c>
      <c r="C50" s="21" t="s">
        <v>213</v>
      </c>
      <c r="D50" s="28" t="s">
        <v>17</v>
      </c>
      <c r="E50" s="28" t="s">
        <v>18</v>
      </c>
      <c r="F50" s="28">
        <v>8</v>
      </c>
      <c r="H50" s="28" t="s">
        <v>137</v>
      </c>
    </row>
    <row r="51" spans="2:8">
      <c r="B51" s="33" t="s">
        <v>138</v>
      </c>
      <c r="C51" s="21" t="s">
        <v>151</v>
      </c>
      <c r="D51" s="28" t="s">
        <v>17</v>
      </c>
      <c r="E51" s="28" t="s">
        <v>18</v>
      </c>
      <c r="F51" s="28">
        <v>1</v>
      </c>
      <c r="H51" s="28" t="s">
        <v>137</v>
      </c>
    </row>
    <row r="52" spans="2:8">
      <c r="B52" s="34" t="s">
        <v>139</v>
      </c>
      <c r="C52" s="21" t="s">
        <v>214</v>
      </c>
      <c r="H52" s="28" t="s">
        <v>137</v>
      </c>
    </row>
    <row r="53" spans="2:8">
      <c r="B53" s="34" t="s">
        <v>139</v>
      </c>
      <c r="C53" s="21" t="s">
        <v>215</v>
      </c>
    </row>
    <row r="54" spans="2:8">
      <c r="B54" s="35" t="s">
        <v>140</v>
      </c>
    </row>
    <row r="55" spans="2:8">
      <c r="B55" s="21" t="s">
        <v>159</v>
      </c>
      <c r="H55" s="41"/>
    </row>
    <row r="56" spans="2:8">
      <c r="B56" s="25" t="s">
        <v>136</v>
      </c>
      <c r="C56" s="21" t="s">
        <v>150</v>
      </c>
      <c r="D56" s="28" t="s">
        <v>9</v>
      </c>
      <c r="E56" s="28" t="s">
        <v>18</v>
      </c>
      <c r="F56" s="28">
        <v>3</v>
      </c>
      <c r="H56" s="28" t="s">
        <v>137</v>
      </c>
    </row>
    <row r="57" spans="2:8">
      <c r="B57" s="25" t="s">
        <v>136</v>
      </c>
      <c r="C57" s="21" t="s">
        <v>158</v>
      </c>
      <c r="D57" s="28" t="s">
        <v>9</v>
      </c>
      <c r="E57" s="28" t="s">
        <v>34</v>
      </c>
      <c r="F57" s="28">
        <v>2</v>
      </c>
      <c r="G57" s="28">
        <v>1</v>
      </c>
      <c r="H57" s="28" t="s">
        <v>168</v>
      </c>
    </row>
    <row r="58" spans="2:8">
      <c r="B58" s="25" t="s">
        <v>136</v>
      </c>
      <c r="C58" s="21" t="s">
        <v>216</v>
      </c>
    </row>
    <row r="59" spans="2:8">
      <c r="B59" s="25" t="s">
        <v>136</v>
      </c>
      <c r="C59" s="21" t="s">
        <v>217</v>
      </c>
    </row>
    <row r="60" spans="2:8">
      <c r="B60" s="25" t="s">
        <v>136</v>
      </c>
      <c r="C60" s="21" t="s">
        <v>220</v>
      </c>
    </row>
    <row r="61" spans="2:8">
      <c r="B61" s="25" t="s">
        <v>136</v>
      </c>
      <c r="C61" s="21" t="s">
        <v>218</v>
      </c>
    </row>
    <row r="62" spans="2:8">
      <c r="B62" s="25" t="s">
        <v>136</v>
      </c>
      <c r="C62" s="21" t="s">
        <v>219</v>
      </c>
    </row>
    <row r="63" spans="2:8">
      <c r="B63" s="25" t="s">
        <v>136</v>
      </c>
      <c r="C63" s="21" t="s">
        <v>221</v>
      </c>
    </row>
  </sheetData>
  <autoFilter ref="C2:H55" xr:uid="{00000000-0001-0000-0000-000000000000}">
    <sortState xmlns:xlrd2="http://schemas.microsoft.com/office/spreadsheetml/2017/richdata2" ref="C3:H51">
      <sortCondition ref="C2:C51"/>
    </sortState>
  </autoFilter>
  <phoneticPr fontId="1"/>
  <dataValidations count="3">
    <dataValidation type="list" allowBlank="1" showInputMessage="1" showErrorMessage="1" sqref="D3:D8 D56:D59 D12:D47 D50:D54" xr:uid="{AF10AFEC-2E3A-4CB7-ABD8-6255C47E78C2}">
      <formula1>"S,A,B,C"</formula1>
    </dataValidation>
    <dataValidation type="list" allowBlank="1" showInputMessage="1" showErrorMessage="1" sqref="E3:E8 E56:E59 E11:E47 E50:E54" xr:uid="{8982FD40-CA4D-4B92-93FE-B37B6B67ACD6}">
      <formula1>"プロト,アルファ,ベータ,マスタ"</formula1>
    </dataValidation>
    <dataValidation type="list" allowBlank="1" showInputMessage="1" showErrorMessage="1" sqref="H3:H8 H56:H59 H12:H47 H50:H54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F4C71-EC53-4AC7-B05F-AE75E87F0C1C}">
  <dimension ref="A1:C4"/>
  <sheetViews>
    <sheetView tabSelected="1" workbookViewId="0">
      <selection activeCell="C6" sqref="C6"/>
    </sheetView>
  </sheetViews>
  <sheetFormatPr defaultRowHeight="18.75"/>
  <cols>
    <col min="1" max="1" width="8.25" bestFit="1" customWidth="1"/>
    <col min="2" max="2" width="6.25" bestFit="1" customWidth="1"/>
    <col min="3" max="3" width="127.25" bestFit="1" customWidth="1"/>
  </cols>
  <sheetData>
    <row r="1" spans="1:3">
      <c r="A1" t="s">
        <v>230</v>
      </c>
      <c r="B1" t="s">
        <v>231</v>
      </c>
      <c r="C1" t="s">
        <v>232</v>
      </c>
    </row>
    <row r="2" spans="1:3">
      <c r="A2" s="1">
        <v>46166</v>
      </c>
      <c r="B2" t="s">
        <v>233</v>
      </c>
      <c r="C2" t="s">
        <v>234</v>
      </c>
    </row>
    <row r="3" spans="1:3">
      <c r="A3" s="1">
        <v>46167</v>
      </c>
    </row>
    <row r="4" spans="1:3">
      <c r="A4" s="1">
        <v>46168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696AB-2B42-42A5-B99F-E70A812D4095}">
  <dimension ref="B2"/>
  <sheetViews>
    <sheetView workbookViewId="0">
      <selection activeCell="B3" sqref="B3"/>
    </sheetView>
  </sheetViews>
  <sheetFormatPr defaultRowHeight="18.75"/>
  <cols>
    <col min="2" max="2" width="42.75" bestFit="1" customWidth="1"/>
    <col min="3" max="3" width="25.375" bestFit="1" customWidth="1"/>
    <col min="4" max="4" width="15.125" bestFit="1" customWidth="1"/>
    <col min="5" max="5" width="15" bestFit="1" customWidth="1"/>
  </cols>
  <sheetData>
    <row r="2" spans="2:2">
      <c r="B2" t="s">
        <v>229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0D07-33E0-4A6A-A9E3-4F29F77EDCE6}">
  <dimension ref="C2:P37"/>
  <sheetViews>
    <sheetView workbookViewId="0">
      <selection activeCell="J12" sqref="J12"/>
    </sheetView>
  </sheetViews>
  <sheetFormatPr defaultRowHeight="18.75"/>
  <sheetData>
    <row r="2" spans="3:16">
      <c r="O2" t="s">
        <v>180</v>
      </c>
    </row>
    <row r="3" spans="3:16">
      <c r="C3" t="s">
        <v>175</v>
      </c>
    </row>
    <row r="4" spans="3:16">
      <c r="C4" s="22" t="s">
        <v>160</v>
      </c>
      <c r="D4" s="22" t="s">
        <v>161</v>
      </c>
      <c r="E4" s="22" t="s">
        <v>162</v>
      </c>
      <c r="F4" s="22" t="s">
        <v>163</v>
      </c>
      <c r="G4" s="22" t="s">
        <v>164</v>
      </c>
      <c r="H4" s="22" t="s">
        <v>165</v>
      </c>
      <c r="I4" s="22" t="s">
        <v>166</v>
      </c>
    </row>
    <row r="5" spans="3:16">
      <c r="C5" s="22"/>
      <c r="D5" s="22"/>
      <c r="E5" s="22"/>
      <c r="F5" s="22"/>
      <c r="G5" s="22"/>
      <c r="H5" s="22">
        <v>1</v>
      </c>
      <c r="I5" s="22">
        <v>2</v>
      </c>
      <c r="M5" t="s">
        <v>181</v>
      </c>
    </row>
    <row r="6" spans="3:16">
      <c r="C6" s="21">
        <v>3</v>
      </c>
      <c r="D6" s="21">
        <v>4</v>
      </c>
      <c r="E6" s="21">
        <v>5</v>
      </c>
      <c r="F6" s="21">
        <v>6</v>
      </c>
      <c r="G6" s="21">
        <v>7</v>
      </c>
      <c r="H6" s="21">
        <v>8</v>
      </c>
      <c r="I6" s="22">
        <v>9</v>
      </c>
      <c r="K6" t="s">
        <v>126</v>
      </c>
      <c r="L6" s="44"/>
      <c r="M6">
        <v>24</v>
      </c>
    </row>
    <row r="7" spans="3:16">
      <c r="C7" s="21">
        <v>10</v>
      </c>
      <c r="D7" s="21">
        <v>11</v>
      </c>
      <c r="E7" s="21">
        <v>12</v>
      </c>
      <c r="F7" s="21">
        <v>13</v>
      </c>
      <c r="G7" s="21">
        <v>14</v>
      </c>
      <c r="H7" s="21">
        <v>15</v>
      </c>
      <c r="I7" s="22">
        <v>16</v>
      </c>
      <c r="K7" t="s">
        <v>1</v>
      </c>
      <c r="L7" s="46"/>
      <c r="M7">
        <v>24</v>
      </c>
      <c r="P7">
        <v>74</v>
      </c>
    </row>
    <row r="8" spans="3:16">
      <c r="C8" s="21">
        <v>17</v>
      </c>
      <c r="D8" s="21">
        <v>18</v>
      </c>
      <c r="E8" s="21">
        <v>19</v>
      </c>
      <c r="F8" s="21">
        <v>20</v>
      </c>
      <c r="G8" s="21">
        <v>21</v>
      </c>
      <c r="H8" s="51">
        <v>22</v>
      </c>
      <c r="I8" s="22">
        <v>23</v>
      </c>
      <c r="K8" t="s">
        <v>127</v>
      </c>
      <c r="L8" s="50"/>
      <c r="M8">
        <v>24</v>
      </c>
    </row>
    <row r="9" spans="3:16">
      <c r="C9" s="21">
        <v>24</v>
      </c>
      <c r="D9" s="21">
        <v>25</v>
      </c>
      <c r="E9" s="21">
        <v>26</v>
      </c>
      <c r="F9" s="21">
        <v>27</v>
      </c>
      <c r="G9" s="21">
        <v>28</v>
      </c>
      <c r="H9" s="21">
        <v>29</v>
      </c>
      <c r="I9" s="22">
        <v>30</v>
      </c>
      <c r="K9" t="s">
        <v>179</v>
      </c>
      <c r="L9" s="47"/>
      <c r="M9">
        <v>7</v>
      </c>
    </row>
    <row r="10" spans="3:16">
      <c r="C10" s="22">
        <v>31</v>
      </c>
    </row>
    <row r="12" spans="3:16">
      <c r="C12" t="s">
        <v>176</v>
      </c>
    </row>
    <row r="13" spans="3:16">
      <c r="C13" s="22" t="s">
        <v>160</v>
      </c>
      <c r="D13" s="22" t="s">
        <v>161</v>
      </c>
      <c r="E13" s="22" t="s">
        <v>162</v>
      </c>
      <c r="F13" s="22" t="s">
        <v>163</v>
      </c>
      <c r="G13" s="22" t="s">
        <v>164</v>
      </c>
      <c r="H13" s="22" t="s">
        <v>165</v>
      </c>
      <c r="I13" s="22" t="s">
        <v>166</v>
      </c>
    </row>
    <row r="14" spans="3:16">
      <c r="C14" s="21"/>
      <c r="D14" s="21">
        <v>1</v>
      </c>
      <c r="E14" s="21">
        <v>2</v>
      </c>
      <c r="F14" s="21">
        <v>3</v>
      </c>
      <c r="G14" s="21">
        <v>4</v>
      </c>
      <c r="H14" s="21">
        <v>5</v>
      </c>
      <c r="I14" s="21">
        <v>6</v>
      </c>
    </row>
    <row r="15" spans="3:16">
      <c r="C15" s="21">
        <v>7</v>
      </c>
      <c r="D15" s="21">
        <v>8</v>
      </c>
      <c r="E15" s="21">
        <v>9</v>
      </c>
      <c r="F15" s="21">
        <v>10</v>
      </c>
      <c r="G15" s="43">
        <v>11</v>
      </c>
      <c r="H15" s="44">
        <v>12</v>
      </c>
      <c r="I15" s="44">
        <v>13</v>
      </c>
    </row>
    <row r="16" spans="3:16">
      <c r="C16" s="44">
        <v>14</v>
      </c>
      <c r="D16" s="44">
        <v>15</v>
      </c>
      <c r="E16" s="44">
        <v>16</v>
      </c>
      <c r="F16" s="44">
        <v>17</v>
      </c>
      <c r="G16" s="44">
        <v>18</v>
      </c>
      <c r="H16" s="44">
        <v>19</v>
      </c>
      <c r="I16" s="44">
        <v>20</v>
      </c>
    </row>
    <row r="17" spans="3:11">
      <c r="C17" s="44">
        <v>21</v>
      </c>
      <c r="D17" s="44">
        <v>22</v>
      </c>
      <c r="E17" s="44">
        <v>23</v>
      </c>
      <c r="F17" s="44">
        <v>24</v>
      </c>
      <c r="G17" s="44">
        <v>25</v>
      </c>
      <c r="H17" s="44">
        <v>26</v>
      </c>
      <c r="I17" s="44">
        <v>27</v>
      </c>
    </row>
    <row r="18" spans="3:11">
      <c r="C18" s="44">
        <v>28</v>
      </c>
      <c r="D18" s="44">
        <v>29</v>
      </c>
      <c r="E18" s="44">
        <v>30</v>
      </c>
      <c r="F18" s="21"/>
      <c r="G18" s="21"/>
      <c r="H18" s="21"/>
      <c r="I18" s="21"/>
      <c r="K18">
        <v>19</v>
      </c>
    </row>
    <row r="20" spans="3:11">
      <c r="C20" t="s">
        <v>177</v>
      </c>
    </row>
    <row r="21" spans="3:11">
      <c r="C21" s="22" t="s">
        <v>160</v>
      </c>
      <c r="D21" s="22" t="s">
        <v>161</v>
      </c>
      <c r="E21" s="22" t="s">
        <v>162</v>
      </c>
      <c r="F21" s="22" t="s">
        <v>163</v>
      </c>
      <c r="G21" s="22" t="s">
        <v>164</v>
      </c>
      <c r="H21" s="22" t="s">
        <v>165</v>
      </c>
      <c r="I21" s="22" t="s">
        <v>166</v>
      </c>
    </row>
    <row r="22" spans="3:11">
      <c r="C22" s="21"/>
      <c r="D22" s="21"/>
      <c r="E22" s="21"/>
      <c r="F22" s="44">
        <v>1</v>
      </c>
      <c r="G22" s="44">
        <v>2</v>
      </c>
      <c r="H22" s="44">
        <v>3</v>
      </c>
      <c r="I22" s="44">
        <v>4</v>
      </c>
    </row>
    <row r="23" spans="3:11">
      <c r="C23" s="44">
        <v>5</v>
      </c>
      <c r="D23" s="44">
        <v>6</v>
      </c>
      <c r="E23" s="31">
        <v>7</v>
      </c>
      <c r="F23" s="31">
        <v>8</v>
      </c>
      <c r="G23" s="31">
        <v>9</v>
      </c>
      <c r="H23" s="31">
        <v>10</v>
      </c>
      <c r="I23" s="31">
        <v>11</v>
      </c>
    </row>
    <row r="24" spans="3:11">
      <c r="C24" s="31">
        <v>12</v>
      </c>
      <c r="D24" s="31">
        <v>13</v>
      </c>
      <c r="E24" s="31">
        <v>14</v>
      </c>
      <c r="F24" s="31">
        <v>15</v>
      </c>
      <c r="G24" s="31">
        <v>16</v>
      </c>
      <c r="H24" s="31">
        <v>17</v>
      </c>
      <c r="I24" s="31">
        <v>18</v>
      </c>
    </row>
    <row r="25" spans="3:11">
      <c r="C25" s="31">
        <v>19</v>
      </c>
      <c r="D25" s="31">
        <v>20</v>
      </c>
      <c r="E25" s="31">
        <v>21</v>
      </c>
      <c r="F25" s="31">
        <v>22</v>
      </c>
      <c r="G25" s="31">
        <v>23</v>
      </c>
      <c r="H25" s="31">
        <v>24</v>
      </c>
      <c r="I25" s="31">
        <v>25</v>
      </c>
    </row>
    <row r="26" spans="3:11">
      <c r="C26" s="31">
        <v>26</v>
      </c>
      <c r="D26" s="31">
        <v>27</v>
      </c>
      <c r="E26" s="31">
        <v>28</v>
      </c>
      <c r="F26" s="31">
        <v>29</v>
      </c>
      <c r="G26" s="31">
        <v>30</v>
      </c>
      <c r="H26" s="31">
        <v>31</v>
      </c>
      <c r="I26" s="22"/>
      <c r="K26">
        <v>31</v>
      </c>
    </row>
    <row r="30" spans="3:11">
      <c r="C30" t="s">
        <v>178</v>
      </c>
    </row>
    <row r="31" spans="3:11">
      <c r="C31" s="22" t="s">
        <v>160</v>
      </c>
      <c r="D31" s="22" t="s">
        <v>161</v>
      </c>
      <c r="E31" s="22" t="s">
        <v>162</v>
      </c>
      <c r="F31" s="22" t="s">
        <v>163</v>
      </c>
      <c r="G31" s="22" t="s">
        <v>164</v>
      </c>
      <c r="H31" s="22" t="s">
        <v>165</v>
      </c>
      <c r="I31" s="22" t="s">
        <v>166</v>
      </c>
    </row>
    <row r="32" spans="3:11">
      <c r="C32" s="21"/>
      <c r="D32" s="21"/>
      <c r="E32" s="21"/>
      <c r="F32" s="21"/>
      <c r="G32" s="21"/>
      <c r="H32" s="21"/>
      <c r="I32" s="31">
        <v>1</v>
      </c>
      <c r="K32">
        <v>31</v>
      </c>
    </row>
    <row r="33" spans="3:9">
      <c r="C33" s="31">
        <v>2</v>
      </c>
      <c r="D33" s="50">
        <v>3</v>
      </c>
      <c r="E33" s="50">
        <v>4</v>
      </c>
      <c r="F33" s="50">
        <v>5</v>
      </c>
      <c r="G33" s="50">
        <v>6</v>
      </c>
      <c r="H33" s="50">
        <v>7</v>
      </c>
      <c r="I33" s="50">
        <v>8</v>
      </c>
    </row>
    <row r="34" spans="3:9">
      <c r="C34" s="50">
        <v>9</v>
      </c>
      <c r="D34" s="50">
        <v>10</v>
      </c>
      <c r="E34" s="50">
        <v>11</v>
      </c>
      <c r="F34" s="50">
        <v>12</v>
      </c>
      <c r="G34" s="50">
        <v>13</v>
      </c>
      <c r="H34" s="50">
        <v>14</v>
      </c>
      <c r="I34" s="50">
        <v>15</v>
      </c>
    </row>
    <row r="35" spans="3:9">
      <c r="C35" s="50">
        <v>16</v>
      </c>
      <c r="D35" s="50">
        <v>17</v>
      </c>
      <c r="E35" s="50">
        <v>18</v>
      </c>
      <c r="F35" s="50">
        <v>19</v>
      </c>
      <c r="G35" s="50">
        <v>20</v>
      </c>
      <c r="H35" s="50">
        <v>21</v>
      </c>
      <c r="I35" s="50">
        <v>22</v>
      </c>
    </row>
    <row r="36" spans="3:9">
      <c r="C36" s="50">
        <v>23</v>
      </c>
      <c r="D36" s="50">
        <v>24</v>
      </c>
      <c r="E36" s="50">
        <v>25</v>
      </c>
      <c r="F36" s="50">
        <v>26</v>
      </c>
      <c r="G36" s="50">
        <v>27</v>
      </c>
      <c r="H36" s="47">
        <v>28</v>
      </c>
      <c r="I36" s="47">
        <v>29</v>
      </c>
    </row>
    <row r="37" spans="3:9">
      <c r="C37" s="47">
        <v>30</v>
      </c>
      <c r="D37" s="47">
        <v>31</v>
      </c>
      <c r="E37" s="49">
        <v>1</v>
      </c>
      <c r="F37" s="49">
        <v>2</v>
      </c>
      <c r="G37" s="49">
        <v>3</v>
      </c>
      <c r="H37" s="48">
        <v>4</v>
      </c>
      <c r="I37" s="45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8AC8-7610-4AC5-B6A1-107905495902}">
  <dimension ref="C2:C7"/>
  <sheetViews>
    <sheetView workbookViewId="0">
      <selection activeCell="G3" sqref="G3"/>
    </sheetView>
  </sheetViews>
  <sheetFormatPr defaultRowHeight="18.75"/>
  <sheetData>
    <row r="2" spans="3:3">
      <c r="C2" t="s">
        <v>223</v>
      </c>
    </row>
    <row r="3" spans="3:3">
      <c r="C3" t="s">
        <v>224</v>
      </c>
    </row>
    <row r="4" spans="3:3">
      <c r="C4" t="s">
        <v>228</v>
      </c>
    </row>
    <row r="5" spans="3:3">
      <c r="C5" t="s">
        <v>225</v>
      </c>
    </row>
    <row r="6" spans="3:3">
      <c r="C6" t="s">
        <v>226</v>
      </c>
    </row>
    <row r="7" spans="3:3">
      <c r="C7" t="s">
        <v>227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3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1125_元データ</vt:lpstr>
      <vt:lpstr>概要</vt:lpstr>
      <vt:lpstr>作業工数見積もり</vt:lpstr>
      <vt:lpstr>日記</vt:lpstr>
      <vt:lpstr>メモ</vt:lpstr>
      <vt:lpstr>カレンダー</vt:lpstr>
      <vt:lpstr>雑用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平尾　泰稀</cp:lastModifiedBy>
  <cp:revision/>
  <dcterms:created xsi:type="dcterms:W3CDTF">2015-06-05T18:19:34Z</dcterms:created>
  <dcterms:modified xsi:type="dcterms:W3CDTF">2026-05-23T18:45:09Z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