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14F83A6F-9B12-4EB7-8A9F-A39688FDE832}" xr6:coauthVersionLast="47" xr6:coauthVersionMax="47" xr10:uidLastSave="{00000000-0000-0000-0000-000000000000}"/>
  <bookViews>
    <workbookView xWindow="-22575" yWindow="3195" windowWidth="21135" windowHeight="15165" firstSheet="1"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J7" i="1"/>
  <c r="K5" i="1"/>
  <c r="K6" i="1"/>
  <c r="K4" i="1"/>
  <c r="L5" i="1"/>
  <c r="L6" i="1"/>
  <c r="L4" i="1"/>
  <c r="L3" i="1"/>
  <c r="J5" i="1"/>
  <c r="J6" i="1"/>
  <c r="J4" i="1"/>
  <c r="C3" i="5"/>
  <c r="C4" i="5"/>
  <c r="C6" i="5"/>
  <c r="C7" i="5"/>
  <c r="C5" i="5" s="1"/>
  <c r="C10" i="5"/>
  <c r="D10" i="5"/>
  <c r="C11" i="5"/>
  <c r="D11" i="5"/>
  <c r="C12" i="5"/>
  <c r="D12" i="5"/>
  <c r="J3" i="1" l="1"/>
  <c r="E12" i="5"/>
  <c r="D5" i="5"/>
  <c r="E10" i="5"/>
  <c r="E11" i="5"/>
</calcChain>
</file>

<file path=xl/sharedStrings.xml><?xml version="1.0" encoding="utf-8"?>
<sst xmlns="http://schemas.openxmlformats.org/spreadsheetml/2006/main" count="580" uniqueCount="284">
  <si>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</si>
  <si>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</si>
  <si>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</si>
  <si>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</si>
  <si>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</si>
  <si>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</si>
  <si>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</si>
  <si>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</si>
  <si>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</si>
  <si>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</si>
  <si>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</si>
  <si>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</si>
  <si>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</si>
  <si>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</si>
  <si>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</si>
  <si>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</si>
  <si>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</si>
  <si>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</si>
  <si>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</si>
  <si>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</si>
  <si>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</si>
  <si>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</si>
  <si>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</si>
  <si>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</si>
  <si>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</si>
  <si>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</si>
  <si>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</si>
  <si>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</si>
  <si>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</si>
  <si>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</si>
  <si>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</si>
  <si>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</si>
  <si>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</si>
  <si>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</si>
  <si>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</si>
  <si>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</si>
  <si>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</si>
  <si>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</si>
  <si>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</si>
  <si>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</si>
  <si>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</si>
  <si>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</si>
  <si>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</si>
  <si>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表示、移動</t>
    <rPh sb="0" eb="2">
      <t>ヒョウジ</t>
    </rPh>
    <rPh sb="3" eb="5">
      <t>イドウ</t>
    </rPh>
    <phoneticPr fontId="1"/>
  </si>
  <si>
    <t>1コスト1時間</t>
    <rPh sb="5" eb="7">
      <t>ジカン</t>
    </rPh>
    <phoneticPr fontId="1"/>
  </si>
  <si>
    <t>プレイヤー</t>
    <phoneticPr fontId="1"/>
  </si>
  <si>
    <t>移動アニメーション</t>
    <phoneticPr fontId="1"/>
  </si>
  <si>
    <t>攻撃アニメーション</t>
    <rPh sb="0" eb="2">
      <t>コウゲキ</t>
    </rPh>
    <phoneticPr fontId="1"/>
  </si>
  <si>
    <t>4/13まで</t>
    <phoneticPr fontId="1"/>
  </si>
  <si>
    <t>敵</t>
    <rPh sb="0" eb="1">
      <t>テキ</t>
    </rPh>
    <phoneticPr fontId="1"/>
  </si>
  <si>
    <t>カメラの移動</t>
    <rPh sb="4" eb="6">
      <t>イドウ</t>
    </rPh>
    <phoneticPr fontId="1"/>
  </si>
  <si>
    <t>剣の表示</t>
    <rPh sb="0" eb="1">
      <t>ケン</t>
    </rPh>
    <rPh sb="2" eb="4">
      <t>ヒョウジ</t>
    </rPh>
    <phoneticPr fontId="1"/>
  </si>
  <si>
    <t>ゲームループ用のシステム</t>
    <rPh sb="6" eb="7">
      <t>ヨウ</t>
    </rPh>
    <phoneticPr fontId="1"/>
  </si>
  <si>
    <t>ステージの表示</t>
    <rPh sb="5" eb="7">
      <t>ヒョウジ</t>
    </rPh>
    <phoneticPr fontId="1"/>
  </si>
  <si>
    <t>攻撃と敵との当たり判定</t>
    <rPh sb="0" eb="2">
      <t>コウゲキ</t>
    </rPh>
    <rPh sb="3" eb="4">
      <t>テキ</t>
    </rPh>
    <rPh sb="6" eb="7">
      <t>ア</t>
    </rPh>
    <rPh sb="9" eb="11">
      <t>ハンテイ</t>
    </rPh>
    <phoneticPr fontId="1"/>
  </si>
  <si>
    <t>被弾アニメーション</t>
    <rPh sb="0" eb="2">
      <t>ヒダン</t>
    </rPh>
    <phoneticPr fontId="1"/>
  </si>
  <si>
    <t>モデル探し</t>
    <rPh sb="3" eb="4">
      <t>サガ</t>
    </rPh>
    <phoneticPr fontId="1"/>
  </si>
  <si>
    <t>BGM探し</t>
    <rPh sb="3" eb="4">
      <t>サガ</t>
    </rPh>
    <phoneticPr fontId="1"/>
  </si>
  <si>
    <t>SE探し</t>
    <rPh sb="2" eb="3">
      <t>サガ</t>
    </rPh>
    <phoneticPr fontId="1"/>
  </si>
  <si>
    <t>プレイヤーと敵との当たり判定</t>
    <rPh sb="6" eb="7">
      <t>テキ</t>
    </rPh>
    <rPh sb="9" eb="10">
      <t>ア</t>
    </rPh>
    <rPh sb="12" eb="14">
      <t>ハンテイ</t>
    </rPh>
    <phoneticPr fontId="1"/>
  </si>
  <si>
    <t>インゲーム中のシステム</t>
    <rPh sb="5" eb="6">
      <t>チュウ</t>
    </rPh>
    <phoneticPr fontId="1"/>
  </si>
  <si>
    <t>UX</t>
    <phoneticPr fontId="1"/>
  </si>
  <si>
    <t>日</t>
    <rPh sb="0" eb="1">
      <t>ニチ</t>
    </rPh>
    <phoneticPr fontId="1"/>
  </si>
  <si>
    <t>月</t>
  </si>
  <si>
    <t>火</t>
  </si>
  <si>
    <t>水</t>
  </si>
  <si>
    <t>木</t>
  </si>
  <si>
    <t>金</t>
  </si>
  <si>
    <t>土</t>
  </si>
  <si>
    <t>カメラに合わせたプレイヤーの移動、回転</t>
    <rPh sb="4" eb="5">
      <t>ア</t>
    </rPh>
    <rPh sb="14" eb="16">
      <t>イドウ</t>
    </rPh>
    <rPh sb="17" eb="19">
      <t>カイテン</t>
    </rPh>
    <phoneticPr fontId="1"/>
  </si>
  <si>
    <t>完了</t>
  </si>
  <si>
    <t>作業中(作業工数)</t>
    <rPh sb="0" eb="3">
      <t>サギョウチュウ</t>
    </rPh>
    <rPh sb="4" eb="8">
      <t>サギョウコウスウ</t>
    </rPh>
    <phoneticPr fontId="1"/>
  </si>
  <si>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</si>
  <si>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</si>
  <si>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</si>
  <si>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</si>
  <si>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</si>
  <si>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</si>
  <si>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</si>
  <si>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</si>
  <si>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</si>
  <si>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</si>
  <si>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</si>
  <si>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弱攻撃</t>
    <rPh sb="0" eb="1">
      <t>ジャク</t>
    </rPh>
    <rPh sb="1" eb="3">
      <t>コウゲキ</t>
    </rPh>
    <phoneticPr fontId="1"/>
  </si>
  <si>
    <t>強攻撃</t>
    <rPh sb="0" eb="3">
      <t>キョウコウゲキ</t>
    </rPh>
    <phoneticPr fontId="1"/>
  </si>
  <si>
    <t>コンボ攻撃</t>
    <rPh sb="3" eb="5">
      <t>コウゲキ</t>
    </rPh>
    <phoneticPr fontId="1"/>
  </si>
  <si>
    <t>攻撃当たり判定</t>
    <rPh sb="0" eb="2">
      <t>コウゲキ</t>
    </rPh>
    <rPh sb="2" eb="3">
      <t>ア</t>
    </rPh>
    <rPh sb="5" eb="7">
      <t>ハンテイ</t>
    </rPh>
    <phoneticPr fontId="1"/>
  </si>
  <si>
    <t>マップとの当たり判定</t>
    <rPh sb="5" eb="6">
      <t>ア</t>
    </rPh>
    <rPh sb="8" eb="10">
      <t>ハンテイ</t>
    </rPh>
    <phoneticPr fontId="1"/>
  </si>
  <si>
    <t>カメラの当たり判定</t>
    <rPh sb="4" eb="5">
      <t>ア</t>
    </rPh>
    <rPh sb="7" eb="9">
      <t>ハンテイ</t>
    </rPh>
    <phoneticPr fontId="1"/>
  </si>
  <si>
    <t>ウルト</t>
    <phoneticPr fontId="1"/>
  </si>
  <si>
    <t>ダッシュ</t>
    <phoneticPr fontId="1"/>
  </si>
  <si>
    <t>攻撃</t>
    <rPh sb="0" eb="2">
      <t>コウゲキ</t>
    </rPh>
    <phoneticPr fontId="1"/>
  </si>
  <si>
    <t>・Idle</t>
    <phoneticPr fontId="1"/>
  </si>
  <si>
    <t>・Attack</t>
    <phoneticPr fontId="1"/>
  </si>
  <si>
    <t>・Skill</t>
    <phoneticPr fontId="1"/>
  </si>
  <si>
    <t>・Ult</t>
    <phoneticPr fontId="1"/>
  </si>
  <si>
    <t>・Dash</t>
    <phoneticPr fontId="1"/>
  </si>
  <si>
    <t>ジャスト回避</t>
    <rPh sb="4" eb="6">
      <t>カイヒ</t>
    </rPh>
    <phoneticPr fontId="1"/>
  </si>
  <si>
    <t>ジャスト回避反撃</t>
    <rPh sb="4" eb="6">
      <t>カイヒ</t>
    </rPh>
    <rPh sb="6" eb="8">
      <t>ハンゲキ</t>
    </rPh>
    <phoneticPr fontId="1"/>
  </si>
  <si>
    <t>ダッシュ攻撃</t>
    <rPh sb="4" eb="6">
      <t>コウゲキ</t>
    </rPh>
    <phoneticPr fontId="1"/>
  </si>
  <si>
    <t>・Idle</t>
    <phoneticPr fontId="1"/>
  </si>
  <si>
    <t>・Caution</t>
    <phoneticPr fontId="1"/>
  </si>
  <si>
    <t>警戒</t>
    <rPh sb="0" eb="2">
      <t>ケイカイ</t>
    </rPh>
    <phoneticPr fontId="1"/>
  </si>
  <si>
    <t>・Hit</t>
    <phoneticPr fontId="1"/>
  </si>
  <si>
    <t>・Dead</t>
    <phoneticPr fontId="1"/>
  </si>
  <si>
    <t>死亡</t>
    <rPh sb="0" eb="2">
      <t>シボウ</t>
    </rPh>
    <phoneticPr fontId="1"/>
  </si>
  <si>
    <t>プレイヤーのカメラ</t>
    <phoneticPr fontId="1"/>
  </si>
  <si>
    <t>player攻撃の演出カメラ</t>
    <rPh sb="0" eb="8">
      <t>プレイヤーコウゲキ</t>
    </rPh>
    <rPh sb="9" eb="11">
      <t>エンシュツ</t>
    </rPh>
    <phoneticPr fontId="1"/>
  </si>
  <si>
    <t>ヒットエフェクト、タイムスケール実装</t>
    <phoneticPr fontId="1"/>
  </si>
  <si>
    <t>ステージの表示</t>
    <rPh sb="5" eb="7">
      <t>ヒョウジ</t>
    </rPh>
    <phoneticPr fontId="1"/>
  </si>
  <si>
    <t>ステージの当たり判定</t>
    <rPh sb="5" eb="6">
      <t>ア</t>
    </rPh>
    <rPh sb="8" eb="10">
      <t>ハンテイ</t>
    </rPh>
    <phoneticPr fontId="1"/>
  </si>
  <si>
    <t>シーン遷移</t>
    <rPh sb="3" eb="5">
      <t>センイ</t>
    </rPh>
    <phoneticPr fontId="1"/>
  </si>
  <si>
    <t>・タイトルシーン</t>
    <phoneticPr fontId="1"/>
  </si>
  <si>
    <t>・ゲームシーン</t>
    <phoneticPr fontId="1"/>
  </si>
  <si>
    <t>・リザルトシーン</t>
    <phoneticPr fontId="1"/>
  </si>
  <si>
    <t>・セレクトシーン</t>
    <phoneticPr fontId="1"/>
  </si>
  <si>
    <t>・チュートリアル</t>
    <phoneticPr fontId="1"/>
  </si>
  <si>
    <t>・雑魚敵、中ボス、大ボス</t>
    <rPh sb="1" eb="4">
      <t>ザコテキ</t>
    </rPh>
    <rPh sb="5" eb="6">
      <t>チュウ</t>
    </rPh>
    <rPh sb="9" eb="10">
      <t>オオ</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</si>
  <si>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</si>
  <si>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</si>
  <si>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</si>
  <si>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</si>
  <si>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</si>
  <si>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</si>
  <si>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</si>
  <si>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</si>
  <si>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</si>
  <si>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</si>
  <si>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</si>
  <si>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</si>
  <si>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</si>
  <si>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</si>
  <si>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・Hit</t>
    <phoneticPr fontId="1"/>
  </si>
  <si>
    <t>・Dead</t>
    <phoneticPr fontId="1"/>
  </si>
  <si>
    <t>死亡処理</t>
    <rPh sb="0" eb="2">
      <t>シボウ</t>
    </rPh>
    <rPh sb="2" eb="4">
      <t>ショリ</t>
    </rPh>
    <phoneticPr fontId="1"/>
  </si>
  <si>
    <t>ヒット処理</t>
    <rPh sb="3" eb="5">
      <t>ショリ</t>
    </rPh>
    <phoneticPr fontId="1"/>
  </si>
  <si>
    <t>・Jump</t>
    <phoneticPr fontId="1"/>
  </si>
  <si>
    <t>jump挙動</t>
    <rPh sb="4" eb="6">
      <t>キョドウ</t>
    </rPh>
    <phoneticPr fontId="1"/>
  </si>
  <si>
    <t>jump当たり判定</t>
    <rPh sb="4" eb="5">
      <t>ア</t>
    </rPh>
    <rPh sb="7" eb="9">
      <t>ハンテイ</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</si>
  <si>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</si>
  <si>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</si>
  <si>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</si>
  <si>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</si>
  <si>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</si>
  <si>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</si>
  <si>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</si>
  <si>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</si>
  <si>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</si>
  <si>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</si>
  <si>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</si>
  <si>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</si>
  <si>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</si>
  <si>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</si>
  <si>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</si>
  <si>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</si>
  <si>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</si>
  <si>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</si>
  <si>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</si>
  <si>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</si>
  <si>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</si>
  <si>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</si>
  <si>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</si>
  <si>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</si>
  <si>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</si>
  <si>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</si>
  <si>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空中攻撃</t>
    <rPh sb="0" eb="2">
      <t>クウチュウ</t>
    </rPh>
    <rPh sb="2" eb="4">
      <t>コウゲキ</t>
    </rPh>
    <phoneticPr fontId="1"/>
  </si>
  <si>
    <t>弱ボタン連携</t>
    <rPh sb="0" eb="1">
      <t>ジャク</t>
    </rPh>
    <rPh sb="4" eb="6">
      <t>レンケイ</t>
    </rPh>
    <phoneticPr fontId="1"/>
  </si>
  <si>
    <t>強ボタン連携</t>
    <rPh sb="0" eb="1">
      <t>キョウ</t>
    </rPh>
    <rPh sb="4" eb="6">
      <t>レンケイ</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</si>
  <si>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</si>
  <si>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</si>
  <si>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</si>
  <si>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</si>
  <si>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</si>
  <si>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</si>
  <si>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</si>
  <si>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</si>
  <si>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</si>
  <si>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</si>
  <si>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</si>
  <si>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</si>
  <si>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</si>
  <si>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</si>
  <si>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</si>
  <si>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</si>
  <si>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</si>
  <si>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</si>
  <si>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①背景</t>
    <rPh sb="1" eb="3">
      <t>ハイケイ</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</si>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</sst>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4" tint="0.39997558519241921"/>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0">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2" xfId="0" applyFill="1" applyBorder="1"/>
    <xf numFmtId="0" fontId="0" fillId="25" borderId="0" xfId="0" applyFill="1"/>
    <xf numFmtId="0" fontId="0" fillId="26"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SUM(作業工数見積もり!E3:E92)</f>
        <v>92</v>
      </c>
    </row>
    <row r="4" spans="2:5">
      <c r="B4" s="5" t="s">
        <v>6</v>
      </c>
      <c r="C4">
        <f>SUMIF(作業工数見積もり!G3:G45,"完了",作業工数見積もり!E3:E45)</f>
        <v>6</v>
      </c>
      <c r="D4" t="s">
        <v>7</v>
      </c>
    </row>
    <row r="5" spans="2:5">
      <c r="B5" s="6" t="s">
        <v>8</v>
      </c>
      <c r="C5" s="2">
        <f ca="1">NETWORKDAYS(C6,C7)</f>
        <v>423</v>
      </c>
      <c r="D5" s="3">
        <f ca="1" xml:space="preserve"> C4 / C5</f>
        <v>1.4184397163120567E-2</v>
      </c>
    </row>
    <row r="6" spans="2:5">
      <c r="B6" s="7" t="s">
        <v>9</v>
      </c>
      <c r="C6" s="1">
        <f>DATE(2024,11,7)</f>
        <v>45603</v>
      </c>
    </row>
    <row r="7" spans="2:5">
      <c r="B7" s="8" t="s">
        <v>11</v>
      </c>
      <c r="C7" s="1">
        <f ca="1">TODAY()</f>
        <v>46195</v>
      </c>
    </row>
    <row r="9" spans="2:5">
      <c r="D9" t="s">
        <v>12</v>
      </c>
      <c r="E9" t="s">
        <v>13</v>
      </c>
    </row>
    <row r="10" spans="2:5">
      <c r="B10" s="4" t="s">
        <v>15</v>
      </c>
      <c r="C10" s="1">
        <f>DATE(2024,12,20)</f>
        <v>45646</v>
      </c>
      <c r="D10" s="2">
        <f ca="1">NETWORKDAYS(TODAY(),C10)</f>
        <v>-392</v>
      </c>
      <c r="E10" s="3">
        <f ca="1">($C$3 - $C$4) / D10</f>
        <v>-0.21938775510204081</v>
      </c>
    </row>
    <row r="11" spans="2:5">
      <c r="B11" s="9" t="s">
        <v>16</v>
      </c>
      <c r="C11" s="1">
        <f>DATE(2025,1,17)</f>
        <v>45674</v>
      </c>
      <c r="D11" s="2">
        <f ca="1">NETWORKDAYS(TODAY(),C11)</f>
        <v>-372</v>
      </c>
      <c r="E11" s="3">
        <f ca="1">($C$3 - $C$4) / D11</f>
        <v>-0.23118279569892472</v>
      </c>
    </row>
    <row r="12" spans="2:5">
      <c r="B12" s="6" t="s">
        <v>17</v>
      </c>
      <c r="C12" s="1">
        <f>DATE(2025,2,3)</f>
        <v>45691</v>
      </c>
      <c r="D12" s="2">
        <f ca="1">NETWORKDAYS(TODAY(),C12)</f>
        <v>-361</v>
      </c>
      <c r="E12" s="3">
        <f ca="1">($C$3 - $C$4) / D12</f>
        <v>-0.23822714681440443</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1"/>
  <sheetViews>
    <sheetView zoomScale="70" zoomScaleNormal="70" workbookViewId="0">
      <selection activeCell="B25" sqref="B25"/>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6" max="16384" width="9" style="10"/>
  </cols>
  <sheetData>
    <row r="1" spans="1:12">
      <c r="A1" s="10" t="s">
        <v>44</v>
      </c>
      <c r="B1" s="10" t="s">
        <v>48</v>
      </c>
    </row>
    <row r="2" spans="1:12">
      <c r="A2" s="14" t="s">
        <v>31</v>
      </c>
      <c r="B2" s="14" t="s">
        <v>32</v>
      </c>
      <c r="C2" s="15" t="s">
        <v>1</v>
      </c>
      <c r="D2" s="15" t="s">
        <v>2</v>
      </c>
      <c r="E2" s="15" t="s">
        <v>33</v>
      </c>
      <c r="F2" s="15" t="s">
        <v>3</v>
      </c>
      <c r="G2" s="15" t="s">
        <v>34</v>
      </c>
      <c r="J2" s="10" t="s">
        <v>73</v>
      </c>
      <c r="K2" s="10" t="s">
        <v>74</v>
      </c>
      <c r="L2" s="10" t="s">
        <v>72</v>
      </c>
    </row>
    <row r="3" spans="1:12">
      <c r="A3" s="17" t="s">
        <v>35</v>
      </c>
      <c r="B3" s="10" t="s">
        <v>56</v>
      </c>
      <c r="C3" s="16" t="s">
        <v>5</v>
      </c>
      <c r="D3" s="16" t="s">
        <v>18</v>
      </c>
      <c r="E3" s="16">
        <v>1</v>
      </c>
      <c r="F3" s="16">
        <v>1</v>
      </c>
      <c r="G3" s="16" t="s">
        <v>39</v>
      </c>
      <c r="I3" s="25" t="s">
        <v>75</v>
      </c>
      <c r="J3" s="10">
        <f ca="1">SUM(J4,J5,J6)</f>
        <v>87</v>
      </c>
      <c r="K3" s="10">
        <f>SUMIFS(E3:E62,G3:G62,"未着手")</f>
        <v>80</v>
      </c>
      <c r="L3" s="10">
        <f>SUM(F3:F62)</f>
        <v>29</v>
      </c>
    </row>
    <row r="4" spans="1:12">
      <c r="A4" s="17" t="s">
        <v>35</v>
      </c>
      <c r="B4" s="10" t="s">
        <v>57</v>
      </c>
      <c r="C4" s="16" t="s">
        <v>14</v>
      </c>
      <c r="D4" s="16" t="s">
        <v>10</v>
      </c>
      <c r="E4" s="16">
        <v>0.5</v>
      </c>
      <c r="G4" s="16" t="s">
        <v>39</v>
      </c>
      <c r="I4" s="26" t="s">
        <v>28</v>
      </c>
      <c r="J4" s="29">
        <f ca="1">SUMIF(D3:D60,I4,E3:E59)</f>
        <v>85.5</v>
      </c>
      <c r="K4" s="10">
        <f>SUMIFS($E$3:$E$62,$G$3:$G$62,"未着手",$D$3:$D$62,I4)</f>
        <v>78.5</v>
      </c>
      <c r="L4" s="10">
        <f>SUMIFS(F3:F62,D3:D62,I4)</f>
        <v>29</v>
      </c>
    </row>
    <row r="5" spans="1:12">
      <c r="A5" s="17" t="s">
        <v>35</v>
      </c>
      <c r="B5" s="10" t="s">
        <v>58</v>
      </c>
      <c r="C5" s="16" t="s">
        <v>14</v>
      </c>
      <c r="D5" s="16" t="s">
        <v>10</v>
      </c>
      <c r="E5" s="16">
        <v>0.5</v>
      </c>
      <c r="G5" s="16" t="s">
        <v>39</v>
      </c>
      <c r="I5" s="27" t="s">
        <v>0</v>
      </c>
      <c r="J5" s="29">
        <f ca="1">SUMIF(D4:D62,I5,E4:E60)</f>
        <v>1.5</v>
      </c>
      <c r="K5" s="10">
        <f>SUMIFS($E$3:$E$62,$G$3:$G$62,"未着手",$D$3:$D$62,I5)</f>
        <v>1.5</v>
      </c>
      <c r="L5" s="10">
        <f>SUMIFS(F4:F63,D4:D63,I5)</f>
        <v>0</v>
      </c>
    </row>
    <row r="6" spans="1:12">
      <c r="A6" s="17" t="s">
        <v>35</v>
      </c>
      <c r="B6" s="10" t="s">
        <v>36</v>
      </c>
      <c r="C6" s="16" t="s">
        <v>14</v>
      </c>
      <c r="D6" s="16" t="s">
        <v>10</v>
      </c>
      <c r="E6" s="16">
        <v>0.5</v>
      </c>
      <c r="G6" s="16" t="s">
        <v>39</v>
      </c>
      <c r="I6" s="28" t="s">
        <v>29</v>
      </c>
      <c r="J6" s="29">
        <f ca="1">SUMIF(D5:D63,I6,E5:E62)</f>
        <v>0</v>
      </c>
      <c r="K6" s="10">
        <f>SUMIFS($E$3:$E$62,$G$3:$G$62,"未着手",$D$3:$D$62,I6)</f>
        <v>0</v>
      </c>
      <c r="L6" s="10">
        <f>SUMIFS(F5:F63,D5:D63,I6)</f>
        <v>0</v>
      </c>
    </row>
    <row r="7" spans="1:12">
      <c r="A7" s="18" t="s">
        <v>37</v>
      </c>
      <c r="B7" s="10" t="s">
        <v>54</v>
      </c>
      <c r="C7" s="16" t="s">
        <v>5</v>
      </c>
      <c r="D7" s="16" t="s">
        <v>18</v>
      </c>
      <c r="E7" s="16">
        <v>0.5</v>
      </c>
      <c r="F7" s="16">
        <v>2</v>
      </c>
      <c r="G7" s="16" t="s">
        <v>39</v>
      </c>
      <c r="I7" s="25" t="s">
        <v>71</v>
      </c>
      <c r="J7" s="10">
        <f>COUNTIF(G3:G60,"作業中")</f>
        <v>0</v>
      </c>
    </row>
    <row r="8" spans="1:12">
      <c r="A8" s="18" t="s">
        <v>37</v>
      </c>
      <c r="B8" s="10" t="s">
        <v>59</v>
      </c>
      <c r="C8" s="16" t="s">
        <v>5</v>
      </c>
      <c r="D8" s="16" t="s">
        <v>18</v>
      </c>
      <c r="E8" s="16">
        <v>2</v>
      </c>
      <c r="F8" s="16">
        <v>3</v>
      </c>
      <c r="G8" s="16" t="s">
        <v>39</v>
      </c>
    </row>
    <row r="9" spans="1:12">
      <c r="A9" s="18" t="s">
        <v>37</v>
      </c>
      <c r="B9" s="10" t="s">
        <v>87</v>
      </c>
      <c r="C9" s="16" t="s">
        <v>5</v>
      </c>
      <c r="D9" s="16" t="s">
        <v>18</v>
      </c>
      <c r="G9" s="16" t="s">
        <v>39</v>
      </c>
    </row>
    <row r="10" spans="1:12">
      <c r="A10" s="18" t="s">
        <v>37</v>
      </c>
      <c r="B10" s="10" t="s">
        <v>88</v>
      </c>
      <c r="C10" s="16" t="s">
        <v>5</v>
      </c>
      <c r="D10" s="16" t="s">
        <v>18</v>
      </c>
      <c r="G10" s="16" t="s">
        <v>39</v>
      </c>
    </row>
    <row r="11" spans="1:12">
      <c r="A11" s="19" t="s">
        <v>45</v>
      </c>
      <c r="B11" s="39" t="s">
        <v>92</v>
      </c>
      <c r="C11" s="16" t="s">
        <v>5</v>
      </c>
      <c r="D11" s="16" t="s">
        <v>18</v>
      </c>
      <c r="G11" s="16" t="s">
        <v>39</v>
      </c>
    </row>
    <row r="12" spans="1:12" outlineLevel="1">
      <c r="A12" s="19" t="s">
        <v>45</v>
      </c>
      <c r="B12" s="10" t="s">
        <v>43</v>
      </c>
      <c r="C12" s="16" t="s">
        <v>5</v>
      </c>
      <c r="D12" s="16" t="s">
        <v>18</v>
      </c>
      <c r="E12" s="16">
        <v>1</v>
      </c>
      <c r="F12" s="16">
        <v>1</v>
      </c>
      <c r="G12" s="16" t="s">
        <v>70</v>
      </c>
    </row>
    <row r="13" spans="1:12" outlineLevel="1">
      <c r="A13" s="19" t="s">
        <v>45</v>
      </c>
      <c r="B13" s="10" t="s">
        <v>69</v>
      </c>
      <c r="C13" s="16" t="s">
        <v>5</v>
      </c>
      <c r="D13" s="16" t="s">
        <v>18</v>
      </c>
      <c r="E13" s="16">
        <v>1</v>
      </c>
      <c r="F13" s="16">
        <v>1</v>
      </c>
      <c r="G13" s="16" t="s">
        <v>70</v>
      </c>
    </row>
    <row r="14" spans="1:12" outlineLevel="1">
      <c r="A14" s="19"/>
      <c r="B14" s="10" t="s">
        <v>136</v>
      </c>
    </row>
    <row r="15" spans="1:12" outlineLevel="1">
      <c r="A15" s="19"/>
      <c r="B15" s="10" t="s">
        <v>137</v>
      </c>
    </row>
    <row r="16" spans="1:12" outlineLevel="1">
      <c r="A16" s="19"/>
      <c r="B16" s="10" t="s">
        <v>138</v>
      </c>
    </row>
    <row r="17" spans="1:7">
      <c r="A17" s="19" t="s">
        <v>45</v>
      </c>
      <c r="B17" s="39" t="s">
        <v>93</v>
      </c>
      <c r="C17" s="16" t="s">
        <v>5</v>
      </c>
      <c r="D17" s="16" t="s">
        <v>18</v>
      </c>
      <c r="G17" s="16" t="s">
        <v>39</v>
      </c>
    </row>
    <row r="18" spans="1:7" outlineLevel="1">
      <c r="A18" s="19" t="s">
        <v>45</v>
      </c>
      <c r="B18" s="10" t="s">
        <v>83</v>
      </c>
      <c r="C18" s="16" t="s">
        <v>5</v>
      </c>
      <c r="D18" s="16" t="s">
        <v>18</v>
      </c>
      <c r="E18" s="16">
        <v>1</v>
      </c>
      <c r="F18" s="16">
        <v>1</v>
      </c>
      <c r="G18" s="16" t="s">
        <v>70</v>
      </c>
    </row>
    <row r="19" spans="1:7" outlineLevel="1">
      <c r="A19" s="19" t="s">
        <v>45</v>
      </c>
      <c r="B19" s="10" t="s">
        <v>84</v>
      </c>
      <c r="C19" s="16" t="s">
        <v>5</v>
      </c>
      <c r="D19" s="16" t="s">
        <v>18</v>
      </c>
      <c r="E19" s="16">
        <v>1</v>
      </c>
      <c r="F19" s="16">
        <v>1</v>
      </c>
      <c r="G19" s="16" t="s">
        <v>70</v>
      </c>
    </row>
    <row r="20" spans="1:7" outlineLevel="1">
      <c r="A20" s="19" t="s">
        <v>45</v>
      </c>
      <c r="B20" s="10" t="s">
        <v>85</v>
      </c>
      <c r="C20" s="16" t="s">
        <v>5</v>
      </c>
      <c r="D20" s="16" t="s">
        <v>18</v>
      </c>
      <c r="E20" s="16">
        <v>1</v>
      </c>
      <c r="F20" s="16">
        <v>1</v>
      </c>
      <c r="G20" s="16" t="s">
        <v>70</v>
      </c>
    </row>
    <row r="21" spans="1:7" outlineLevel="1">
      <c r="A21" s="19" t="s">
        <v>45</v>
      </c>
      <c r="B21" s="10" t="s">
        <v>165</v>
      </c>
      <c r="C21" s="16" t="s">
        <v>5</v>
      </c>
      <c r="D21" s="16" t="s">
        <v>18</v>
      </c>
      <c r="G21" s="16" t="s">
        <v>39</v>
      </c>
    </row>
    <row r="22" spans="1:7">
      <c r="A22" s="19" t="s">
        <v>45</v>
      </c>
      <c r="B22" s="39" t="s">
        <v>94</v>
      </c>
      <c r="C22" s="16" t="s">
        <v>5</v>
      </c>
      <c r="D22" s="16" t="s">
        <v>18</v>
      </c>
      <c r="G22" s="16" t="s">
        <v>39</v>
      </c>
    </row>
    <row r="23" spans="1:7" outlineLevel="1">
      <c r="A23" s="19" t="s">
        <v>45</v>
      </c>
      <c r="B23" s="10" t="s">
        <v>166</v>
      </c>
      <c r="C23" s="16" t="s">
        <v>5</v>
      </c>
      <c r="D23" s="16" t="s">
        <v>18</v>
      </c>
      <c r="E23" s="16">
        <v>3</v>
      </c>
      <c r="G23" s="16" t="s">
        <v>39</v>
      </c>
    </row>
    <row r="24" spans="1:7" outlineLevel="1">
      <c r="A24" s="19"/>
      <c r="B24" s="10" t="s">
        <v>167</v>
      </c>
    </row>
    <row r="25" spans="1:7">
      <c r="A25" s="19" t="s">
        <v>45</v>
      </c>
      <c r="B25" s="39" t="s">
        <v>95</v>
      </c>
      <c r="C25" s="16" t="s">
        <v>5</v>
      </c>
      <c r="D25" s="16" t="s">
        <v>18</v>
      </c>
      <c r="G25" s="16" t="s">
        <v>39</v>
      </c>
    </row>
    <row r="26" spans="1:7" outlineLevel="1">
      <c r="A26" s="19" t="s">
        <v>45</v>
      </c>
      <c r="B26" s="10" t="s">
        <v>89</v>
      </c>
      <c r="C26" s="16" t="s">
        <v>5</v>
      </c>
      <c r="D26" s="16" t="s">
        <v>18</v>
      </c>
      <c r="E26" s="16">
        <v>24</v>
      </c>
      <c r="G26" s="16" t="s">
        <v>39</v>
      </c>
    </row>
    <row r="27" spans="1:7">
      <c r="A27" s="19" t="s">
        <v>45</v>
      </c>
      <c r="B27" s="39" t="s">
        <v>96</v>
      </c>
      <c r="C27" s="16" t="s">
        <v>5</v>
      </c>
      <c r="D27" s="16" t="s">
        <v>18</v>
      </c>
      <c r="G27" s="16" t="s">
        <v>39</v>
      </c>
    </row>
    <row r="28" spans="1:7" outlineLevel="1">
      <c r="A28" s="19" t="s">
        <v>45</v>
      </c>
      <c r="B28" s="10" t="s">
        <v>90</v>
      </c>
      <c r="C28" s="16" t="s">
        <v>5</v>
      </c>
      <c r="D28" s="16" t="s">
        <v>18</v>
      </c>
      <c r="E28" s="16">
        <v>1</v>
      </c>
      <c r="F28" s="16">
        <v>1</v>
      </c>
      <c r="G28" s="16" t="s">
        <v>70</v>
      </c>
    </row>
    <row r="29" spans="1:7" outlineLevel="1">
      <c r="A29" s="19" t="s">
        <v>45</v>
      </c>
      <c r="B29" s="10" t="s">
        <v>99</v>
      </c>
      <c r="C29" s="16" t="s">
        <v>5</v>
      </c>
      <c r="D29" s="16" t="s">
        <v>18</v>
      </c>
      <c r="E29" s="16">
        <v>2</v>
      </c>
      <c r="G29" s="16" t="s">
        <v>39</v>
      </c>
    </row>
    <row r="30" spans="1:7" outlineLevel="1">
      <c r="A30" s="19" t="s">
        <v>45</v>
      </c>
      <c r="B30" s="10" t="s">
        <v>97</v>
      </c>
      <c r="C30" s="16" t="s">
        <v>5</v>
      </c>
      <c r="D30" s="16" t="s">
        <v>18</v>
      </c>
      <c r="E30" s="16">
        <v>4</v>
      </c>
      <c r="G30" s="16" t="s">
        <v>39</v>
      </c>
    </row>
    <row r="31" spans="1:7" outlineLevel="1">
      <c r="A31" s="19" t="s">
        <v>45</v>
      </c>
      <c r="B31" s="10" t="s">
        <v>98</v>
      </c>
      <c r="C31" s="16" t="s">
        <v>5</v>
      </c>
      <c r="D31" s="16" t="s">
        <v>18</v>
      </c>
      <c r="E31" s="16">
        <v>4</v>
      </c>
      <c r="G31" s="16" t="s">
        <v>39</v>
      </c>
    </row>
    <row r="32" spans="1:7">
      <c r="A32" s="19" t="s">
        <v>45</v>
      </c>
      <c r="B32" s="39"/>
      <c r="C32" s="16" t="s">
        <v>5</v>
      </c>
      <c r="D32" s="16" t="s">
        <v>18</v>
      </c>
      <c r="G32" s="16" t="s">
        <v>39</v>
      </c>
    </row>
    <row r="33" spans="1:7" outlineLevel="1">
      <c r="A33" s="19" t="s">
        <v>45</v>
      </c>
      <c r="C33" s="16" t="s">
        <v>5</v>
      </c>
      <c r="D33" s="16" t="s">
        <v>18</v>
      </c>
      <c r="G33" s="16" t="s">
        <v>39</v>
      </c>
    </row>
    <row r="34" spans="1:7" outlineLevel="1">
      <c r="A34" s="19" t="s">
        <v>45</v>
      </c>
      <c r="C34" s="16" t="s">
        <v>5</v>
      </c>
      <c r="D34" s="16" t="s">
        <v>18</v>
      </c>
      <c r="G34" s="16" t="s">
        <v>39</v>
      </c>
    </row>
    <row r="35" spans="1:7" outlineLevel="1">
      <c r="A35" s="19" t="s">
        <v>45</v>
      </c>
      <c r="C35" s="16" t="s">
        <v>5</v>
      </c>
      <c r="D35" s="16" t="s">
        <v>18</v>
      </c>
      <c r="G35" s="16" t="s">
        <v>39</v>
      </c>
    </row>
    <row r="36" spans="1:7" outlineLevel="1">
      <c r="A36" s="19" t="s">
        <v>45</v>
      </c>
      <c r="B36" s="39" t="s">
        <v>132</v>
      </c>
      <c r="C36" s="16" t="s">
        <v>5</v>
      </c>
      <c r="D36" s="16" t="s">
        <v>18</v>
      </c>
    </row>
    <row r="37" spans="1:7" outlineLevel="1">
      <c r="A37" s="19" t="s">
        <v>45</v>
      </c>
      <c r="B37" s="10" t="s">
        <v>135</v>
      </c>
      <c r="C37" s="16" t="s">
        <v>5</v>
      </c>
      <c r="D37" s="16" t="s">
        <v>18</v>
      </c>
    </row>
    <row r="38" spans="1:7" outlineLevel="1">
      <c r="A38" s="19" t="s">
        <v>45</v>
      </c>
      <c r="B38" s="39" t="s">
        <v>133</v>
      </c>
      <c r="C38" s="16" t="s">
        <v>5</v>
      </c>
      <c r="D38" s="16" t="s">
        <v>18</v>
      </c>
    </row>
    <row r="39" spans="1:7" outlineLevel="1">
      <c r="A39" s="19" t="s">
        <v>45</v>
      </c>
      <c r="B39" s="10" t="s">
        <v>134</v>
      </c>
      <c r="C39" s="16" t="s">
        <v>5</v>
      </c>
      <c r="D39" s="16" t="s">
        <v>18</v>
      </c>
    </row>
    <row r="40" spans="1:7">
      <c r="A40" s="19" t="s">
        <v>45</v>
      </c>
      <c r="B40" s="10" t="s">
        <v>86</v>
      </c>
      <c r="C40" s="16" t="s">
        <v>5</v>
      </c>
      <c r="D40" s="16" t="s">
        <v>18</v>
      </c>
      <c r="E40" s="16">
        <v>1</v>
      </c>
      <c r="F40" s="16">
        <v>4</v>
      </c>
      <c r="G40" s="16" t="s">
        <v>39</v>
      </c>
    </row>
    <row r="41" spans="1:7">
      <c r="A41" s="19" t="s">
        <v>45</v>
      </c>
      <c r="B41" s="10" t="s">
        <v>46</v>
      </c>
      <c r="C41" s="16" t="s">
        <v>5</v>
      </c>
      <c r="D41" s="16" t="s">
        <v>18</v>
      </c>
      <c r="E41" s="16">
        <v>2</v>
      </c>
      <c r="F41" s="16">
        <v>2</v>
      </c>
      <c r="G41" s="16" t="s">
        <v>39</v>
      </c>
    </row>
    <row r="42" spans="1:7">
      <c r="A42" s="19" t="s">
        <v>45</v>
      </c>
      <c r="B42" s="10" t="s">
        <v>47</v>
      </c>
      <c r="C42" s="16" t="s">
        <v>5</v>
      </c>
      <c r="D42" s="16" t="s">
        <v>18</v>
      </c>
      <c r="E42" s="16">
        <v>2</v>
      </c>
      <c r="F42" s="16">
        <v>3</v>
      </c>
      <c r="G42" s="16" t="s">
        <v>39</v>
      </c>
    </row>
    <row r="43" spans="1:7">
      <c r="A43" s="19" t="s">
        <v>45</v>
      </c>
      <c r="B43" s="10" t="s">
        <v>51</v>
      </c>
      <c r="C43" s="16" t="s">
        <v>5</v>
      </c>
      <c r="D43" s="16" t="s">
        <v>18</v>
      </c>
      <c r="E43" s="16">
        <v>8</v>
      </c>
      <c r="F43" s="16">
        <v>3</v>
      </c>
      <c r="G43" s="16" t="s">
        <v>39</v>
      </c>
    </row>
    <row r="44" spans="1:7">
      <c r="A44" s="20" t="s">
        <v>49</v>
      </c>
      <c r="B44" s="10" t="s">
        <v>117</v>
      </c>
      <c r="C44" s="16" t="s">
        <v>5</v>
      </c>
      <c r="D44" s="16" t="s">
        <v>18</v>
      </c>
      <c r="G44" s="16" t="s">
        <v>39</v>
      </c>
    </row>
    <row r="45" spans="1:7">
      <c r="A45" s="20" t="s">
        <v>49</v>
      </c>
      <c r="B45" s="39" t="s">
        <v>100</v>
      </c>
      <c r="C45" s="16" t="s">
        <v>5</v>
      </c>
      <c r="D45" s="16" t="s">
        <v>18</v>
      </c>
      <c r="E45" s="16">
        <v>0.5</v>
      </c>
      <c r="F45" s="16">
        <v>0.5</v>
      </c>
      <c r="G45" s="16" t="s">
        <v>39</v>
      </c>
    </row>
    <row r="46" spans="1:7">
      <c r="A46" s="20" t="s">
        <v>49</v>
      </c>
      <c r="B46" s="10" t="s">
        <v>43</v>
      </c>
      <c r="C46" s="16" t="s">
        <v>5</v>
      </c>
      <c r="D46" s="16" t="s">
        <v>18</v>
      </c>
      <c r="E46" s="16">
        <v>0.5</v>
      </c>
      <c r="F46" s="16">
        <v>0.5</v>
      </c>
      <c r="G46" s="16" t="s">
        <v>39</v>
      </c>
    </row>
    <row r="47" spans="1:7">
      <c r="A47" s="20" t="s">
        <v>49</v>
      </c>
      <c r="B47" s="39" t="s">
        <v>93</v>
      </c>
      <c r="C47" s="16" t="s">
        <v>5</v>
      </c>
      <c r="D47" s="16" t="s">
        <v>18</v>
      </c>
      <c r="G47" s="16" t="s">
        <v>39</v>
      </c>
    </row>
    <row r="48" spans="1:7">
      <c r="A48" s="20" t="s">
        <v>49</v>
      </c>
      <c r="B48" s="10" t="s">
        <v>91</v>
      </c>
      <c r="C48" s="16" t="s">
        <v>5</v>
      </c>
      <c r="D48" s="16" t="s">
        <v>18</v>
      </c>
      <c r="G48" s="16" t="s">
        <v>39</v>
      </c>
    </row>
    <row r="49" spans="1:7">
      <c r="A49" s="20" t="s">
        <v>49</v>
      </c>
      <c r="B49" s="39" t="s">
        <v>101</v>
      </c>
      <c r="C49" s="16" t="s">
        <v>5</v>
      </c>
      <c r="D49" s="16" t="s">
        <v>18</v>
      </c>
      <c r="G49" s="16" t="s">
        <v>39</v>
      </c>
    </row>
    <row r="50" spans="1:7">
      <c r="A50" s="20" t="s">
        <v>49</v>
      </c>
      <c r="B50" s="10" t="s">
        <v>102</v>
      </c>
      <c r="C50" s="16" t="s">
        <v>5</v>
      </c>
      <c r="D50" s="16" t="s">
        <v>18</v>
      </c>
      <c r="G50" s="16" t="s">
        <v>39</v>
      </c>
    </row>
    <row r="51" spans="1:7">
      <c r="A51" s="20" t="s">
        <v>49</v>
      </c>
      <c r="B51" s="39" t="s">
        <v>103</v>
      </c>
      <c r="C51" s="16" t="s">
        <v>5</v>
      </c>
      <c r="D51" s="16" t="s">
        <v>18</v>
      </c>
      <c r="G51" s="16" t="s">
        <v>39</v>
      </c>
    </row>
    <row r="52" spans="1:7">
      <c r="A52" s="20" t="s">
        <v>49</v>
      </c>
      <c r="B52" s="10" t="s">
        <v>55</v>
      </c>
      <c r="C52" s="16" t="s">
        <v>5</v>
      </c>
      <c r="D52" s="16" t="s">
        <v>18</v>
      </c>
      <c r="E52" s="16">
        <v>2</v>
      </c>
      <c r="G52" s="16" t="s">
        <v>39</v>
      </c>
    </row>
    <row r="53" spans="1:7">
      <c r="A53" s="20" t="s">
        <v>49</v>
      </c>
      <c r="B53" s="39" t="s">
        <v>104</v>
      </c>
      <c r="C53" s="16" t="s">
        <v>5</v>
      </c>
      <c r="D53" s="16" t="s">
        <v>18</v>
      </c>
      <c r="G53" s="16" t="s">
        <v>39</v>
      </c>
    </row>
    <row r="54" spans="1:7">
      <c r="A54" s="20" t="s">
        <v>49</v>
      </c>
      <c r="B54" s="10" t="s">
        <v>105</v>
      </c>
      <c r="C54" s="16" t="s">
        <v>5</v>
      </c>
      <c r="D54" s="16" t="s">
        <v>18</v>
      </c>
      <c r="G54" s="16" t="s">
        <v>39</v>
      </c>
    </row>
    <row r="55" spans="1:7">
      <c r="A55" s="20" t="s">
        <v>49</v>
      </c>
      <c r="B55" s="10" t="s">
        <v>50</v>
      </c>
      <c r="C55" s="16" t="s">
        <v>5</v>
      </c>
      <c r="D55" s="16" t="s">
        <v>18</v>
      </c>
      <c r="E55" s="16">
        <v>1</v>
      </c>
      <c r="F55" s="16">
        <v>3</v>
      </c>
      <c r="G55" s="16" t="s">
        <v>39</v>
      </c>
    </row>
    <row r="56" spans="1:7">
      <c r="A56" s="21" t="s">
        <v>40</v>
      </c>
      <c r="B56" s="10" t="s">
        <v>106</v>
      </c>
      <c r="C56" s="16" t="s">
        <v>5</v>
      </c>
      <c r="D56" s="16" t="s">
        <v>18</v>
      </c>
      <c r="E56" s="16">
        <v>1</v>
      </c>
      <c r="F56" s="16">
        <v>1</v>
      </c>
      <c r="G56" s="16" t="s">
        <v>70</v>
      </c>
    </row>
    <row r="57" spans="1:7">
      <c r="A57" s="21" t="s">
        <v>40</v>
      </c>
      <c r="B57" s="10" t="s">
        <v>107</v>
      </c>
      <c r="C57" s="16" t="s">
        <v>5</v>
      </c>
      <c r="D57" s="16" t="s">
        <v>18</v>
      </c>
      <c r="E57" s="16">
        <v>12</v>
      </c>
      <c r="G57" s="16" t="s">
        <v>39</v>
      </c>
    </row>
    <row r="58" spans="1:7">
      <c r="A58" s="21" t="s">
        <v>40</v>
      </c>
      <c r="B58" s="10" t="s">
        <v>108</v>
      </c>
      <c r="C58" s="16" t="s">
        <v>5</v>
      </c>
      <c r="D58" s="16" t="s">
        <v>18</v>
      </c>
      <c r="E58" s="16">
        <v>6</v>
      </c>
      <c r="G58" s="16" t="s">
        <v>39</v>
      </c>
    </row>
    <row r="59" spans="1:7">
      <c r="A59" s="21" t="s">
        <v>40</v>
      </c>
      <c r="B59" s="10" t="s">
        <v>53</v>
      </c>
      <c r="C59" s="16" t="s">
        <v>5</v>
      </c>
      <c r="D59" s="16" t="s">
        <v>18</v>
      </c>
      <c r="E59" s="16">
        <v>3</v>
      </c>
      <c r="G59" s="16" t="s">
        <v>39</v>
      </c>
    </row>
    <row r="60" spans="1:7">
      <c r="A60" s="22" t="s">
        <v>41</v>
      </c>
      <c r="B60" s="10" t="s">
        <v>109</v>
      </c>
      <c r="C60" s="16" t="s">
        <v>5</v>
      </c>
      <c r="D60" s="16" t="s">
        <v>18</v>
      </c>
      <c r="G60" s="16" t="s">
        <v>39</v>
      </c>
    </row>
    <row r="61" spans="1:7">
      <c r="A61" s="22" t="s">
        <v>41</v>
      </c>
      <c r="B61" s="10" t="s">
        <v>110</v>
      </c>
      <c r="C61" s="16" t="s">
        <v>5</v>
      </c>
      <c r="D61" s="16" t="s">
        <v>18</v>
      </c>
      <c r="G61" s="16" t="s">
        <v>39</v>
      </c>
    </row>
    <row r="62" spans="1:7">
      <c r="A62" s="23" t="s">
        <v>42</v>
      </c>
      <c r="C62" s="16" t="s">
        <v>5</v>
      </c>
      <c r="D62" s="16" t="s">
        <v>18</v>
      </c>
      <c r="G62" s="16" t="s">
        <v>39</v>
      </c>
    </row>
    <row r="63" spans="1:7">
      <c r="A63" s="10" t="s">
        <v>61</v>
      </c>
      <c r="C63" s="16" t="s">
        <v>5</v>
      </c>
      <c r="D63" s="16" t="s">
        <v>18</v>
      </c>
      <c r="G63" s="16" t="s">
        <v>39</v>
      </c>
    </row>
    <row r="64" spans="1:7">
      <c r="A64" s="13" t="s">
        <v>38</v>
      </c>
      <c r="B64" s="10" t="s">
        <v>52</v>
      </c>
      <c r="C64" s="16" t="s">
        <v>5</v>
      </c>
      <c r="D64" s="16" t="s">
        <v>18</v>
      </c>
      <c r="E64" s="16">
        <v>3</v>
      </c>
      <c r="G64" s="16" t="s">
        <v>39</v>
      </c>
    </row>
    <row r="65" spans="1:7">
      <c r="A65" s="13" t="s">
        <v>38</v>
      </c>
      <c r="B65" s="10" t="s">
        <v>60</v>
      </c>
      <c r="C65" s="16" t="s">
        <v>5</v>
      </c>
      <c r="D65" s="16" t="s">
        <v>18</v>
      </c>
      <c r="E65" s="16">
        <v>2</v>
      </c>
      <c r="F65" s="16">
        <v>1</v>
      </c>
      <c r="G65" s="16" t="s">
        <v>39</v>
      </c>
    </row>
    <row r="66" spans="1:7">
      <c r="A66" s="13" t="s">
        <v>38</v>
      </c>
      <c r="B66" s="10" t="s">
        <v>111</v>
      </c>
      <c r="C66" s="16" t="s">
        <v>5</v>
      </c>
      <c r="D66" s="16" t="s">
        <v>18</v>
      </c>
      <c r="G66" s="16" t="s">
        <v>39</v>
      </c>
    </row>
    <row r="67" spans="1:7">
      <c r="A67" s="13" t="s">
        <v>38</v>
      </c>
      <c r="B67" s="10" t="s">
        <v>112</v>
      </c>
      <c r="C67" s="16" t="s">
        <v>5</v>
      </c>
      <c r="D67" s="16" t="s">
        <v>18</v>
      </c>
      <c r="G67" s="16" t="s">
        <v>39</v>
      </c>
    </row>
    <row r="68" spans="1:7">
      <c r="A68" s="13" t="s">
        <v>38</v>
      </c>
      <c r="B68" s="10" t="s">
        <v>115</v>
      </c>
      <c r="C68" s="16" t="s">
        <v>5</v>
      </c>
      <c r="D68" s="16" t="s">
        <v>18</v>
      </c>
      <c r="G68" s="16" t="s">
        <v>39</v>
      </c>
    </row>
    <row r="69" spans="1:7">
      <c r="A69" s="13" t="s">
        <v>38</v>
      </c>
      <c r="B69" s="10" t="s">
        <v>113</v>
      </c>
      <c r="C69" s="16" t="s">
        <v>5</v>
      </c>
      <c r="D69" s="16" t="s">
        <v>18</v>
      </c>
      <c r="G69" s="16" t="s">
        <v>39</v>
      </c>
    </row>
    <row r="70" spans="1:7">
      <c r="A70" s="13" t="s">
        <v>38</v>
      </c>
      <c r="B70" s="10" t="s">
        <v>114</v>
      </c>
      <c r="C70" s="16" t="s">
        <v>5</v>
      </c>
      <c r="D70" s="16" t="s">
        <v>18</v>
      </c>
      <c r="G70" s="16" t="s">
        <v>39</v>
      </c>
    </row>
    <row r="71" spans="1:7">
      <c r="A71" s="13" t="s">
        <v>38</v>
      </c>
      <c r="B71" s="10" t="s">
        <v>116</v>
      </c>
      <c r="C71" s="16" t="s">
        <v>5</v>
      </c>
      <c r="D71" s="16" t="s">
        <v>18</v>
      </c>
      <c r="G71" s="16" t="s">
        <v>39</v>
      </c>
    </row>
  </sheetData>
  <autoFilter ref="B2:G63" xr:uid="{00000000-0001-0000-0000-000000000000}">
    <sortState xmlns:xlrd2="http://schemas.microsoft.com/office/spreadsheetml/2017/richdata2" ref="B3:G59">
      <sortCondition ref="B2:B59"/>
    </sortState>
  </autoFilter>
  <phoneticPr fontId="1"/>
  <dataValidations count="3">
    <dataValidation type="list" allowBlank="1" showInputMessage="1" showErrorMessage="1" sqref="C3:C71" xr:uid="{AF10AFEC-2E3A-4CB7-ABD8-6255C47E78C2}">
      <formula1>"S,A,B,C"</formula1>
    </dataValidation>
    <dataValidation type="list" allowBlank="1" showInputMessage="1" showErrorMessage="1" sqref="D3:D71" xr:uid="{8982FD40-CA4D-4B92-93FE-B37B6B67ACD6}">
      <formula1>"プロト,アルファ,ベータ,マスタ"</formula1>
    </dataValidation>
    <dataValidation type="list" allowBlank="1" showInputMessage="1" showErrorMessage="1" sqref="G3:G71" xr:uid="{E1CFE88F-4F87-4696-BE21-1133C2AEB8C1}">
      <formula1>"未着手,作業中,完了"</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6" zoomScale="115" zoomScaleNormal="115" workbookViewId="0">
      <selection activeCell="H15" sqref="H15"/>
    </sheetView>
  </sheetViews>
  <sheetFormatPr defaultRowHeight="18.75"/>
  <sheetData>
    <row r="2" spans="3:16">
      <c r="O2" t="s">
        <v>81</v>
      </c>
    </row>
    <row r="3" spans="3:16">
      <c r="C3" t="s">
        <v>76</v>
      </c>
    </row>
    <row r="4" spans="3:16">
      <c r="C4" s="11" t="s">
        <v>62</v>
      </c>
      <c r="D4" s="11" t="s">
        <v>63</v>
      </c>
      <c r="E4" s="11" t="s">
        <v>64</v>
      </c>
      <c r="F4" s="11" t="s">
        <v>65</v>
      </c>
      <c r="G4" s="11" t="s">
        <v>66</v>
      </c>
      <c r="H4" s="11" t="s">
        <v>67</v>
      </c>
      <c r="I4" s="11" t="s">
        <v>68</v>
      </c>
    </row>
    <row r="5" spans="3:16">
      <c r="C5" s="11"/>
      <c r="D5" s="11"/>
      <c r="E5" s="11"/>
      <c r="F5" s="11"/>
      <c r="G5" s="11"/>
      <c r="H5" s="11">
        <v>1</v>
      </c>
      <c r="I5" s="11">
        <v>2</v>
      </c>
      <c r="M5" t="s">
        <v>82</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24</v>
      </c>
      <c r="P7">
        <v>74</v>
      </c>
    </row>
    <row r="8" spans="3:16">
      <c r="C8" s="10">
        <v>17</v>
      </c>
      <c r="D8" s="10">
        <v>18</v>
      </c>
      <c r="E8" s="10">
        <v>19</v>
      </c>
      <c r="F8" s="10">
        <v>20</v>
      </c>
      <c r="G8" s="10">
        <v>21</v>
      </c>
      <c r="H8" s="38">
        <v>22</v>
      </c>
      <c r="I8" s="11">
        <v>23</v>
      </c>
      <c r="K8" t="s">
        <v>29</v>
      </c>
      <c r="L8" s="37"/>
      <c r="M8">
        <v>24</v>
      </c>
    </row>
    <row r="9" spans="3:16">
      <c r="C9" s="10">
        <v>24</v>
      </c>
      <c r="D9" s="10">
        <v>25</v>
      </c>
      <c r="E9" s="10">
        <v>26</v>
      </c>
      <c r="F9" s="10">
        <v>27</v>
      </c>
      <c r="G9" s="10">
        <v>28</v>
      </c>
      <c r="H9" s="10">
        <v>29</v>
      </c>
      <c r="I9" s="11">
        <v>30</v>
      </c>
      <c r="K9" t="s">
        <v>80</v>
      </c>
      <c r="L9" s="34"/>
      <c r="M9">
        <v>7</v>
      </c>
    </row>
    <row r="10" spans="3:16">
      <c r="C10" s="11">
        <v>31</v>
      </c>
    </row>
    <row r="12" spans="3:16">
      <c r="C12" t="s">
        <v>77</v>
      </c>
    </row>
    <row r="13" spans="3:16">
      <c r="C13" s="11" t="s">
        <v>62</v>
      </c>
      <c r="D13" s="11" t="s">
        <v>63</v>
      </c>
      <c r="E13" s="11" t="s">
        <v>64</v>
      </c>
      <c r="F13" s="11" t="s">
        <v>65</v>
      </c>
      <c r="G13" s="11" t="s">
        <v>66</v>
      </c>
      <c r="H13" s="11" t="s">
        <v>67</v>
      </c>
      <c r="I13" s="11" t="s">
        <v>68</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1">
      <c r="C17" s="31">
        <v>21</v>
      </c>
      <c r="D17" s="31">
        <v>22</v>
      </c>
      <c r="E17" s="31">
        <v>23</v>
      </c>
      <c r="F17" s="31">
        <v>24</v>
      </c>
      <c r="G17" s="31">
        <v>25</v>
      </c>
      <c r="H17" s="31">
        <v>26</v>
      </c>
      <c r="I17" s="31">
        <v>27</v>
      </c>
    </row>
    <row r="18" spans="3:11">
      <c r="C18" s="31">
        <v>28</v>
      </c>
      <c r="D18" s="31">
        <v>29</v>
      </c>
      <c r="E18" s="31">
        <v>30</v>
      </c>
      <c r="F18" s="10"/>
      <c r="G18" s="10"/>
      <c r="H18" s="10"/>
      <c r="I18" s="10"/>
      <c r="K18">
        <v>19</v>
      </c>
    </row>
    <row r="20" spans="3:11">
      <c r="C20" t="s">
        <v>78</v>
      </c>
    </row>
    <row r="21" spans="3:11">
      <c r="C21" s="11" t="s">
        <v>62</v>
      </c>
      <c r="D21" s="11" t="s">
        <v>63</v>
      </c>
      <c r="E21" s="11" t="s">
        <v>64</v>
      </c>
      <c r="F21" s="11" t="s">
        <v>65</v>
      </c>
      <c r="G21" s="11" t="s">
        <v>66</v>
      </c>
      <c r="H21" s="11" t="s">
        <v>67</v>
      </c>
      <c r="I21" s="11" t="s">
        <v>68</v>
      </c>
    </row>
    <row r="22" spans="3:11">
      <c r="C22" s="10"/>
      <c r="D22" s="10"/>
      <c r="E22" s="10"/>
      <c r="F22" s="31">
        <v>1</v>
      </c>
      <c r="G22" s="31">
        <v>2</v>
      </c>
      <c r="H22" s="31">
        <v>3</v>
      </c>
      <c r="I22" s="31">
        <v>4</v>
      </c>
    </row>
    <row r="23" spans="3:11">
      <c r="C23" s="31">
        <v>5</v>
      </c>
      <c r="D23" s="31">
        <v>6</v>
      </c>
      <c r="E23" s="19">
        <v>7</v>
      </c>
      <c r="F23" s="19">
        <v>8</v>
      </c>
      <c r="G23" s="19">
        <v>9</v>
      </c>
      <c r="H23" s="19">
        <v>10</v>
      </c>
      <c r="I23" s="19">
        <v>11</v>
      </c>
    </row>
    <row r="24" spans="3:11">
      <c r="C24" s="19">
        <v>12</v>
      </c>
      <c r="D24" s="19">
        <v>13</v>
      </c>
      <c r="E24" s="19">
        <v>14</v>
      </c>
      <c r="F24" s="19">
        <v>15</v>
      </c>
      <c r="G24" s="19">
        <v>16</v>
      </c>
      <c r="H24" s="19">
        <v>17</v>
      </c>
      <c r="I24" s="19">
        <v>18</v>
      </c>
    </row>
    <row r="25" spans="3:11">
      <c r="C25" s="19">
        <v>19</v>
      </c>
      <c r="D25" s="19">
        <v>20</v>
      </c>
      <c r="E25" s="19">
        <v>21</v>
      </c>
      <c r="F25" s="19">
        <v>22</v>
      </c>
      <c r="G25" s="19">
        <v>23</v>
      </c>
      <c r="H25" s="19">
        <v>24</v>
      </c>
      <c r="I25" s="19">
        <v>25</v>
      </c>
    </row>
    <row r="26" spans="3:11">
      <c r="C26" s="19">
        <v>26</v>
      </c>
      <c r="D26" s="19">
        <v>27</v>
      </c>
      <c r="E26" s="19">
        <v>28</v>
      </c>
      <c r="F26" s="19">
        <v>29</v>
      </c>
      <c r="G26" s="19">
        <v>30</v>
      </c>
      <c r="H26" s="19">
        <v>31</v>
      </c>
      <c r="I26" s="11"/>
      <c r="K26">
        <v>31</v>
      </c>
    </row>
    <row r="30" spans="3:11">
      <c r="C30" t="s">
        <v>79</v>
      </c>
    </row>
    <row r="31" spans="3:11">
      <c r="C31" s="11" t="s">
        <v>62</v>
      </c>
      <c r="D31" s="11" t="s">
        <v>63</v>
      </c>
      <c r="E31" s="11" t="s">
        <v>64</v>
      </c>
      <c r="F31" s="11" t="s">
        <v>65</v>
      </c>
      <c r="G31" s="11" t="s">
        <v>66</v>
      </c>
      <c r="H31" s="11" t="s">
        <v>67</v>
      </c>
      <c r="I31" s="11" t="s">
        <v>68</v>
      </c>
    </row>
    <row r="32" spans="3:11">
      <c r="C32" s="10"/>
      <c r="D32" s="10"/>
      <c r="E32" s="10"/>
      <c r="F32" s="10"/>
      <c r="G32" s="10"/>
      <c r="H32" s="10"/>
      <c r="I32" s="19">
        <v>1</v>
      </c>
      <c r="K32">
        <v>31</v>
      </c>
    </row>
    <row r="33" spans="3:9">
      <c r="C33" s="19">
        <v>2</v>
      </c>
      <c r="D33" s="37">
        <v>3</v>
      </c>
      <c r="E33" s="37">
        <v>4</v>
      </c>
      <c r="F33" s="37">
        <v>5</v>
      </c>
      <c r="G33" s="37">
        <v>6</v>
      </c>
      <c r="H33" s="37">
        <v>7</v>
      </c>
      <c r="I33" s="37">
        <v>8</v>
      </c>
    </row>
    <row r="34" spans="3:9">
      <c r="C34" s="37">
        <v>9</v>
      </c>
      <c r="D34" s="37">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6"/>
  <sheetViews>
    <sheetView tabSelected="1" workbookViewId="0">
      <selection activeCell="C17" sqref="C17"/>
    </sheetView>
  </sheetViews>
  <sheetFormatPr defaultRowHeight="18.75"/>
  <cols>
    <col min="1" max="1" width="8.25" bestFit="1" customWidth="1"/>
    <col min="2" max="2" width="6.25" bestFit="1" customWidth="1"/>
    <col min="3" max="3" width="127.25" bestFit="1" customWidth="1"/>
  </cols>
  <sheetData>
    <row r="1" spans="1:3">
      <c r="A1" t="s">
        <v>119</v>
      </c>
      <c r="B1" t="s">
        <v>120</v>
      </c>
      <c r="C1" t="s">
        <v>121</v>
      </c>
    </row>
    <row r="2" spans="1:3">
      <c r="A2" s="1">
        <v>46166</v>
      </c>
      <c r="B2" t="s">
        <v>122</v>
      </c>
      <c r="C2" t="s">
        <v>123</v>
      </c>
    </row>
    <row r="3" spans="1:3">
      <c r="A3" s="1">
        <v>46167</v>
      </c>
      <c r="B3" t="s">
        <v>124</v>
      </c>
      <c r="C3" t="s">
        <v>125</v>
      </c>
    </row>
    <row r="4" spans="1:3">
      <c r="A4" s="1"/>
      <c r="C4" t="s">
        <v>144</v>
      </c>
    </row>
    <row r="5" spans="1:3">
      <c r="C5" t="s">
        <v>145</v>
      </c>
    </row>
    <row r="7" spans="1:3">
      <c r="A7" s="1">
        <v>46190</v>
      </c>
      <c r="C7" t="s">
        <v>274</v>
      </c>
    </row>
    <row r="8" spans="1:3">
      <c r="A8" s="1">
        <v>46191</v>
      </c>
      <c r="C8" t="s">
        <v>275</v>
      </c>
    </row>
    <row r="9" spans="1:3">
      <c r="A9" s="1">
        <v>46192</v>
      </c>
      <c r="C9" t="s">
        <v>276</v>
      </c>
    </row>
    <row r="10" spans="1:3">
      <c r="C10" t="s">
        <v>277</v>
      </c>
    </row>
    <row r="11" spans="1:3">
      <c r="C11" t="s">
        <v>278</v>
      </c>
    </row>
    <row r="12" spans="1:3">
      <c r="A12" s="1">
        <v>46193</v>
      </c>
      <c r="C12" t="s">
        <v>279</v>
      </c>
    </row>
    <row r="13" spans="1:3">
      <c r="C13" t="s">
        <v>280</v>
      </c>
    </row>
    <row r="14" spans="1:3">
      <c r="A14" s="1">
        <v>46194</v>
      </c>
      <c r="C14" t="s">
        <v>281</v>
      </c>
    </row>
    <row r="15" spans="1:3">
      <c r="C15" t="s">
        <v>282</v>
      </c>
    </row>
    <row r="16" spans="1:3">
      <c r="C16" t="s">
        <v>283</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118</v>
      </c>
      <c r="C2" t="s">
        <v>127</v>
      </c>
      <c r="D2" t="s">
        <v>128</v>
      </c>
    </row>
    <row r="3" spans="2:4">
      <c r="D3" t="s">
        <v>129</v>
      </c>
    </row>
    <row r="4" spans="2:4">
      <c r="B4" t="s">
        <v>126</v>
      </c>
      <c r="D4" t="s">
        <v>130</v>
      </c>
    </row>
    <row r="7" spans="2:4">
      <c r="B7" t="s">
        <v>131</v>
      </c>
    </row>
    <row r="9" spans="2:4">
      <c r="B9" t="s">
        <v>139</v>
      </c>
    </row>
    <row r="10" spans="2:4">
      <c r="B10" t="s">
        <v>140</v>
      </c>
      <c r="D10" t="s">
        <v>184</v>
      </c>
    </row>
    <row r="11" spans="2:4">
      <c r="B11" t="s">
        <v>141</v>
      </c>
      <c r="D11" t="s">
        <v>185</v>
      </c>
    </row>
    <row r="12" spans="2:4">
      <c r="D12" t="s">
        <v>186</v>
      </c>
    </row>
    <row r="13" spans="2:4">
      <c r="B13" t="s">
        <v>142</v>
      </c>
      <c r="D13" t="s">
        <v>187</v>
      </c>
    </row>
    <row r="14" spans="2:4">
      <c r="B14" t="s">
        <v>143</v>
      </c>
      <c r="D14" t="s">
        <v>188</v>
      </c>
    </row>
    <row r="15" spans="2:4">
      <c r="D15" t="s">
        <v>189</v>
      </c>
    </row>
    <row r="17" spans="2:4">
      <c r="B17" t="s">
        <v>183</v>
      </c>
      <c r="D17" t="s">
        <v>199</v>
      </c>
    </row>
    <row r="18" spans="2:4">
      <c r="B18" t="s">
        <v>261</v>
      </c>
    </row>
    <row r="19" spans="2:4">
      <c r="B19" t="s">
        <v>262</v>
      </c>
    </row>
    <row r="20" spans="2:4">
      <c r="B20" t="s">
        <v>190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2"/>
      <c r="B1" s="43"/>
      <c r="C1" s="43"/>
      <c r="D1" s="43"/>
      <c r="E1" s="43"/>
      <c r="F1" s="43"/>
      <c r="G1" s="44"/>
    </row>
    <row r="2" spans="1:7">
      <c r="A2" s="45"/>
      <c r="G2" s="46"/>
    </row>
    <row r="3" spans="1:7">
      <c r="A3" s="45"/>
      <c r="C3" t="s">
        <v>239</v>
      </c>
      <c r="G3" s="46"/>
    </row>
    <row r="4" spans="1:7">
      <c r="A4" s="45"/>
      <c r="C4" t="s">
        <v>91</v>
      </c>
      <c r="G4" s="46"/>
    </row>
    <row r="5" spans="1:7">
      <c r="A5" s="45"/>
      <c r="C5" t="s">
        <v>240</v>
      </c>
      <c r="G5" s="46"/>
    </row>
    <row r="6" spans="1:7">
      <c r="A6" s="45"/>
      <c r="C6" t="s">
        <v>242</v>
      </c>
      <c r="G6" s="46"/>
    </row>
    <row r="7" spans="1:7">
      <c r="A7" s="45"/>
      <c r="C7" t="s">
        <v>248</v>
      </c>
      <c r="G7" s="46"/>
    </row>
    <row r="8" spans="1:7">
      <c r="A8" s="45"/>
      <c r="G8" s="46"/>
    </row>
    <row r="9" spans="1:7">
      <c r="A9" s="45"/>
      <c r="B9" t="s">
        <v>241</v>
      </c>
      <c r="D9" t="s">
        <v>243</v>
      </c>
      <c r="F9" t="s">
        <v>246</v>
      </c>
      <c r="G9" s="46"/>
    </row>
    <row r="10" spans="1:7">
      <c r="A10" s="45"/>
      <c r="B10" t="s">
        <v>91</v>
      </c>
      <c r="D10" t="s">
        <v>244</v>
      </c>
      <c r="F10" t="s">
        <v>247</v>
      </c>
      <c r="G10" s="46"/>
    </row>
    <row r="11" spans="1:7">
      <c r="A11" s="45"/>
      <c r="B11" t="s">
        <v>240</v>
      </c>
      <c r="D11" t="s">
        <v>245</v>
      </c>
      <c r="F11" t="s">
        <v>85</v>
      </c>
      <c r="G11" s="46"/>
    </row>
    <row r="12" spans="1:7">
      <c r="A12" s="45"/>
      <c r="B12" t="s">
        <v>242</v>
      </c>
      <c r="D12" t="s">
        <v>242</v>
      </c>
      <c r="F12" t="s">
        <v>242</v>
      </c>
      <c r="G12" s="46"/>
    </row>
    <row r="13" spans="1:7">
      <c r="A13" s="45"/>
      <c r="B13" t="s">
        <v>248</v>
      </c>
      <c r="D13" t="s">
        <v>240</v>
      </c>
      <c r="F13" t="s">
        <v>240</v>
      </c>
      <c r="G13" s="46"/>
    </row>
    <row r="14" spans="1:7" ht="19.5" thickBot="1">
      <c r="A14" s="47"/>
      <c r="B14" s="48"/>
      <c r="C14" s="48"/>
      <c r="D14" s="48" t="s">
        <v>248</v>
      </c>
      <c r="E14" s="48"/>
      <c r="F14" s="48" t="s">
        <v>248</v>
      </c>
      <c r="G14" s="49"/>
    </row>
    <row r="17" spans="2:6">
      <c r="B17" t="s">
        <v>249</v>
      </c>
      <c r="D17" t="s">
        <v>252</v>
      </c>
    </row>
    <row r="18" spans="2:6">
      <c r="B18" t="s">
        <v>102</v>
      </c>
      <c r="D18" t="s">
        <v>251</v>
      </c>
    </row>
    <row r="19" spans="2:6">
      <c r="B19" t="s">
        <v>91</v>
      </c>
      <c r="D19" t="s">
        <v>253</v>
      </c>
    </row>
    <row r="20" spans="2:6">
      <c r="B20" t="s">
        <v>250</v>
      </c>
      <c r="D20" t="s">
        <v>254</v>
      </c>
    </row>
    <row r="21" spans="2:6">
      <c r="B21" t="s">
        <v>146</v>
      </c>
    </row>
    <row r="22" spans="2:6">
      <c r="D22" t="s">
        <v>255</v>
      </c>
      <c r="F22" t="s">
        <v>256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150</v>
      </c>
      <c r="T1" t="s">
        <v>164</v>
      </c>
      <c r="AE1" t="s">
        <v>177</v>
      </c>
    </row>
    <row r="2" spans="1:33">
      <c r="B2" s="41" t="s">
        <v>206</v>
      </c>
      <c r="C2" s="41"/>
      <c r="D2" s="41"/>
      <c r="E2" s="41"/>
      <c r="M2" t="s">
        <v>151</v>
      </c>
      <c r="AE2" t="s">
        <v>192</v>
      </c>
    </row>
    <row r="3" spans="1:33">
      <c r="B3" t="s">
        <v>146</v>
      </c>
      <c r="M3" t="s">
        <v>152</v>
      </c>
      <c r="R3" t="s">
        <v>198</v>
      </c>
      <c r="AE3" t="s">
        <v>178</v>
      </c>
      <c r="AG3" t="s">
        <v>193</v>
      </c>
    </row>
    <row r="4" spans="1:33">
      <c r="B4" t="s">
        <v>147</v>
      </c>
      <c r="M4" t="s">
        <v>191</v>
      </c>
      <c r="AE4" t="s">
        <v>179</v>
      </c>
    </row>
    <row r="5" spans="1:33">
      <c r="B5" t="s">
        <v>91</v>
      </c>
      <c r="M5" t="s">
        <v>153</v>
      </c>
      <c r="AE5" t="s">
        <v>180</v>
      </c>
    </row>
    <row r="6" spans="1:33">
      <c r="B6" t="s">
        <v>148</v>
      </c>
      <c r="M6" t="s">
        <v>154</v>
      </c>
      <c r="AE6" t="s">
        <v>181</v>
      </c>
    </row>
    <row r="7" spans="1:33">
      <c r="B7" t="s">
        <v>149</v>
      </c>
      <c r="M7" t="s">
        <v>155</v>
      </c>
      <c r="R7" t="s">
        <v>163</v>
      </c>
      <c r="AE7" t="s">
        <v>182</v>
      </c>
    </row>
    <row r="8" spans="1:33">
      <c r="B8" t="s">
        <v>97</v>
      </c>
      <c r="M8" t="s">
        <v>99</v>
      </c>
    </row>
    <row r="10" spans="1:33">
      <c r="AE10" t="s">
        <v>196</v>
      </c>
    </row>
    <row r="11" spans="1:33">
      <c r="M11" t="s">
        <v>169</v>
      </c>
    </row>
    <row r="12" spans="1:33">
      <c r="M12" t="s">
        <v>170</v>
      </c>
      <c r="AE12" t="s">
        <v>195</v>
      </c>
    </row>
    <row r="13" spans="1:33">
      <c r="B13" t="s">
        <v>49</v>
      </c>
      <c r="M13" t="s">
        <v>175</v>
      </c>
    </row>
    <row r="14" spans="1:33">
      <c r="A14" t="s">
        <v>157</v>
      </c>
      <c r="B14" t="s">
        <v>156</v>
      </c>
      <c r="D14" t="s">
        <v>158</v>
      </c>
    </row>
    <row r="15" spans="1:33">
      <c r="D15" t="s">
        <v>194</v>
      </c>
      <c r="M15" t="s">
        <v>171</v>
      </c>
    </row>
    <row r="16" spans="1:33">
      <c r="M16" t="s">
        <v>172</v>
      </c>
      <c r="AF16" s="40" t="s">
        <v>200</v>
      </c>
      <c r="AG16" s="40"/>
    </row>
    <row r="17" spans="1:37">
      <c r="B17" t="s">
        <v>159</v>
      </c>
      <c r="F17" t="s">
        <v>160</v>
      </c>
      <c r="M17" t="s">
        <v>176</v>
      </c>
      <c r="AF17" t="s">
        <v>201</v>
      </c>
      <c r="AK17" t="s">
        <v>203</v>
      </c>
    </row>
    <row r="18" spans="1:37">
      <c r="M18" t="s">
        <v>173</v>
      </c>
      <c r="AF18" t="s">
        <v>202</v>
      </c>
    </row>
    <row r="19" spans="1:37">
      <c r="B19" t="s">
        <v>162</v>
      </c>
      <c r="D19" t="s">
        <v>160</v>
      </c>
      <c r="M19" t="s">
        <v>174</v>
      </c>
      <c r="AF19" t="s">
        <v>204</v>
      </c>
    </row>
    <row r="20" spans="1:37">
      <c r="AF20" t="s">
        <v>193</v>
      </c>
    </row>
    <row r="21" spans="1:37">
      <c r="B21" t="s">
        <v>161</v>
      </c>
      <c r="D21" t="s">
        <v>160</v>
      </c>
    </row>
    <row r="22" spans="1:37">
      <c r="M22" t="s">
        <v>197</v>
      </c>
    </row>
    <row r="24" spans="1:37">
      <c r="D24" t="s">
        <v>269</v>
      </c>
    </row>
    <row r="28" spans="1:37">
      <c r="A28" t="s">
        <v>270</v>
      </c>
    </row>
    <row r="38" spans="1:15">
      <c r="A38" t="s">
        <v>177</v>
      </c>
    </row>
    <row r="41" spans="1:15">
      <c r="A41" t="s">
        <v>272</v>
      </c>
    </row>
    <row r="42" spans="1:15">
      <c r="A42" t="s">
        <v>273</v>
      </c>
    </row>
    <row r="43" spans="1:15">
      <c r="O43" t="s">
        <v>271</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1" t="s">
        <v>205</v>
      </c>
      <c r="D2" s="41"/>
      <c r="E2" s="41"/>
      <c r="Q2" t="s">
        <v>207</v>
      </c>
    </row>
    <row r="4" spans="3:24">
      <c r="C4" t="s">
        <v>225</v>
      </c>
      <c r="Q4" t="s">
        <v>223</v>
      </c>
    </row>
    <row r="5" spans="3:24">
      <c r="C5" t="s">
        <v>224</v>
      </c>
      <c r="I5" t="s">
        <v>236</v>
      </c>
      <c r="Q5" t="s">
        <v>234</v>
      </c>
    </row>
    <row r="6" spans="3:24">
      <c r="C6" t="s">
        <v>235</v>
      </c>
      <c r="I6" t="s">
        <v>237</v>
      </c>
      <c r="Q6" t="s">
        <v>208</v>
      </c>
      <c r="S6" t="s">
        <v>209</v>
      </c>
    </row>
    <row r="7" spans="3:24">
      <c r="Q7" t="s">
        <v>210</v>
      </c>
    </row>
    <row r="8" spans="3:24">
      <c r="C8" t="s">
        <v>227</v>
      </c>
      <c r="Q8" t="s">
        <v>211</v>
      </c>
    </row>
    <row r="9" spans="3:24">
      <c r="C9" t="s">
        <v>231</v>
      </c>
      <c r="I9" t="s">
        <v>237</v>
      </c>
      <c r="Q9" t="s">
        <v>229</v>
      </c>
      <c r="X9" t="s">
        <v>230</v>
      </c>
    </row>
    <row r="10" spans="3:24">
      <c r="C10" t="s">
        <v>226</v>
      </c>
      <c r="Q10" t="s">
        <v>212</v>
      </c>
    </row>
    <row r="11" spans="3:24">
      <c r="C11" t="s">
        <v>228</v>
      </c>
      <c r="I11" t="s">
        <v>236</v>
      </c>
      <c r="Q11" t="s">
        <v>213</v>
      </c>
    </row>
    <row r="12" spans="3:24">
      <c r="Q12" t="s">
        <v>214</v>
      </c>
    </row>
    <row r="13" spans="3:24">
      <c r="C13" t="s">
        <v>232</v>
      </c>
      <c r="Q13" t="s">
        <v>215</v>
      </c>
      <c r="S13" t="s">
        <v>216</v>
      </c>
    </row>
    <row r="14" spans="3:24">
      <c r="C14" t="s">
        <v>233</v>
      </c>
      <c r="I14" t="s">
        <v>238</v>
      </c>
      <c r="Q14" t="s">
        <v>217</v>
      </c>
      <c r="S14" t="s">
        <v>218</v>
      </c>
    </row>
    <row r="15" spans="3:24">
      <c r="Q15" t="s">
        <v>219</v>
      </c>
      <c r="R15" t="s">
        <v>220</v>
      </c>
    </row>
    <row r="16" spans="3:24">
      <c r="Q16" t="s">
        <v>221</v>
      </c>
      <c r="S16" t="s">
        <v>222</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168</v>
      </c>
      <c r="AE2" s="42" t="s">
        <v>258</v>
      </c>
      <c r="AF2" s="43"/>
      <c r="AG2" s="43"/>
      <c r="AH2" s="43"/>
      <c r="AI2" s="44"/>
    </row>
    <row r="3" spans="3:35">
      <c r="AE3" s="45" t="s">
        <v>259</v>
      </c>
      <c r="AI3" s="46"/>
    </row>
    <row r="4" spans="3:35">
      <c r="AE4" s="45" t="s">
        <v>260</v>
      </c>
      <c r="AI4" s="46"/>
    </row>
    <row r="5" spans="3:35" ht="19.5" thickBot="1">
      <c r="AE5" s="47" t="s">
        <v>265</v>
      </c>
      <c r="AF5" s="48"/>
      <c r="AG5" s="48"/>
      <c r="AH5" s="48"/>
      <c r="AI5" s="49"/>
    </row>
    <row r="9" spans="3:35">
      <c r="AE9" t="s">
        <v>257</v>
      </c>
    </row>
    <row r="31" spans="34:47">
      <c r="AN31" t="s">
        <v>263</v>
      </c>
      <c r="AU31" t="s">
        <v>268</v>
      </c>
    </row>
    <row r="32" spans="34:47">
      <c r="AH32" t="s">
        <v>267</v>
      </c>
      <c r="AN32" t="s">
        <v>264</v>
      </c>
    </row>
    <row r="33" spans="40:40">
      <c r="AN33" t="s">
        <v>266</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2026-06-21T16:44:42Z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