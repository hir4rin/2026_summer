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t_hirao\Documents\GitHub\2026_summer\進捗\"/>
    </mc:Choice>
  </mc:AlternateContent>
  <xr:revisionPtr revIDLastSave="0" documentId="13_ncr:1_{2FFC3E55-861F-4371-8EF3-F8E4B6FAE338}" xr6:coauthVersionLast="47" xr6:coauthVersionMax="47" xr10:uidLastSave="{00000000-0000-0000-0000-000000000000}"/>
  <bookViews>
    <workbookView xWindow="3780" yWindow="435" windowWidth="21600" windowHeight="11295" firstSheet="2" activeTab="4" xr2:uid="{00000000-000D-0000-FFFF-FFFF00000000}"/>
  </bookViews>
  <sheets>
    <sheet name="概要" sheetId="5" r:id="rId1"/>
    <sheet name="作業工数見積もり" sheetId="1" r:id="rId2"/>
    <sheet name="カレンダー" sheetId="6" r:id="rId3"/>
    <sheet name="日記" sheetId="12" r:id="rId4"/>
    <sheet name="インターン中気になったこと" sheetId="18" r:id="rId5"/>
    <sheet name="フィードバック" sheetId="19" r:id="rId6"/>
    <sheet name="Sheet1" sheetId="16" r:id="rId7"/>
    <sheet name="メモ" sheetId="9" r:id="rId8"/>
    <sheet name="雑用" sheetId="10" r:id="rId9"/>
    <sheet name="仕様書①" sheetId="13" r:id="rId10"/>
    <sheet name="仕様書②" sheetId="15" r:id="rId11"/>
    <sheet name="クラス設計" sheetId="14" r:id="rId12"/>
    <sheet name="Sheet2" sheetId="17" r:id="rId13"/>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<sst xmlns="http://schemas.openxmlformats.org/spreadsheetml/2006/main" count="870" uniqueCount="610">
  <si>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</si>
  <si>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</si>
  <si>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</si>
  <si>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</si>
  <si>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</si>
  <si>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</si>
  <si>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</si>
  <si>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</si>
  <si>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</si>
  <si>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</si>
  <si>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</si>
  <si>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</si>
  <si>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</si>
  <si>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</si>
  <si>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</si>
  <si>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</si>
  <si>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</si>
  <si>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</si>
  <si>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</si>
  <si>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</si>
  <si>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</si>
  <si>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</si>
  <si>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</si>
  <si>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</si>
  <si>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</si>
  <si>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</si>
  <si>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</si>
  <si>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</si>
  <si>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</si>
  <si>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</si>
  <si>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</si>
  <si>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</si>
  <si>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</si>
  <si>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</si>
  <si>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</si>
  <si>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</si>
  <si>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</si>
  <si>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</si>
  <si>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</si>
  <si>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</si>
  <si>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</si>
  <si>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</si>
  <si>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</si>
  <si>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</si>
  <si>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</si>
  <si>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</si>
  <si>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</si>
  <si>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</si>
  <si>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</si>
  <si>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</si>
  <si>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</si>
  <si>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</si>
  <si>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</si>
  <si>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</si>
  <si>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</si>
  <si>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</si>
  <si>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</si>
  <si>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</si>
  <si>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</si>
  <si>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</si>
  <si>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</si>
  <si>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</si>
  <si>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</si>
  <si>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</si>
  <si>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</si>
  <si>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</si>
  <si>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</si>
  <si>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</si>
  <si>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</si>
  <si>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</si>
  <si>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</si>
  <si>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</si>
  <si>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</si>
  <si>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</si>
  <si>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</si>
  <si>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</si>
  <si>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</si>
  <si>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</si>
  <si>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</si>
  <si>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</si>
  <si>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</si>
  <si>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</si>
  <si>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</si>
  <si>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</si>
  <si>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</si>
  <si>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</si>
  <si>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</si>
  <si>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</si>
  <si>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</si>
  <si>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</si>
  <si>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</si>
  <si>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</si>
  <si>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</si>
  <si>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</si>
  <si>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</si>
  <si>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</si>
  <si>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</si>
  <si>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</si>
  <si>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</si>
  <si>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</si>
  <si>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</si>
  <si>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</si>
  <si>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</si>
  <si>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</si>
  <si>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</si>
  <si>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</si>
  <si>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</si>
  <si>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</si>
  <si>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</si>
  <si>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</si>
  <si>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</si>
  <si>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</si>
  <si>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</si>
  <si>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</si>
  <si>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</si>
  <si>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</si>
  <si>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</si>
  <si>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</si>
  <si>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</si>
  <si>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</si>
  <si>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</si>
  <si>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</si>
  <si>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</si>
  <si>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</si>
  <si>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</si>
  <si>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</si>
  <si>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</si>
  <si>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</si>
  <si>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</si>
  <si>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</si>
  <si>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</si>
  <si>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</si>
  <si>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</si>
  <si>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</si>
  <si>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</si>
  <si>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</si>
  <si>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</si>
  <si>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</si>
  <si>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</si>
  <si>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</si>
  <si>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</si>
  <si>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</si>
  <si>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</si>
  <si>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</si>
  <si>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</si>
  <si>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</si>
  <si>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</si>
  <si>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</si>
  <si>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</si>
  <si>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</si>
  <si>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</si>
  <si>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</si>
  <si>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</si>
  <si>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</si>
  <si>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</si>
  <si>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</si>
  <si>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</si>
  <si>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</si>
  <si>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</si>
  <si>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</si>
  <si>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</si>
  <si>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</si>
  <si>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</si>
  <si>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</si>
  <si>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</si>
  <si>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</si>
  <si>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</si>
  <si>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</si>
  <si>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</si>
  <si>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</si>
  <si>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</si>
  <si>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</si>
  <si>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</si>
  <si>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</si>
  <si>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</si>
  <si>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</si>
  <si>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</si>
  <si>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</si>
  <si>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</si>
  <si>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</si>
  <si>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</si>
  <si>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</si>
  <si>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</si>
  <si>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</si>
  <si>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</si>
  <si>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</si>
  <si>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</si>
  <si>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</si>
  <si>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</si>
  <si>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</si>
  <si>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</si>
  <si>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</si>
  <si>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</si>
  <si>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</si>
  <si>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</si>
  <si>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</si>
  <si>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</si>
  <si>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</si>
  <si>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</si>
  <si>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</si>
  <si>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</si>
  <si>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</si>
  <si>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</si>
  <si>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</si>
  <si>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</si>
  <si>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</si>
  <si>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</si>
  <si>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</si>
  <si>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</si>
  <si>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</si>
  <si>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</si>
  <si>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</si>
  <si>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</si>
  <si>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</si>
  <si>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</si>
  <si>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</si>
  <si>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</si>
  <si>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</si>
  <si>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</si>
  <si>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</si>
  <si>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</si>
  <si>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</si>
  <si>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</si>
  <si>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</si>
  <si>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</si>
  <si>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</si>
  <si>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</si>
  <si>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</si>
  <si>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</si>
  <si>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</si>
  <si>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</si>
  <si>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</si>
  <si>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</si>
  <si>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</si>
  <si>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</si>
  <si>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</si>
  <si>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</si>
  <si>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</si>
  <si>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</si>
  <si>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</si>
  <si>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</si>
  <si>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</si>
  <si>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</si>
  <si>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</si>
  <si>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</si>
  <si>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</si>
  <si>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</si>
  <si>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</si>
  <si>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</si>
  <si>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</si>
  <si>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</si>
  <si>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</si>
  <si>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</si>
  <si>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</si>
  <si>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</si>
  <si>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</si>
  <si>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</si>
  <si>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</si>
  <si>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</si>
  <si>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</si>
  <si>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</si>
  <si>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</si>
  <si>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</si>
  <si>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</si>
  <si>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</si>
  <si>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</si>
  <si>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</si>
  <si>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</si>
  <si>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</si>
  <si>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</si>
  <si>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</si>
  <si>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</si>
  <si>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</si>
  <si>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</si>
  <si>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</si>
  <si>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</si>
  <si>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</si>
  <si>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</si>
  <si>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</si>
  <si>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</si>
  <si>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</si>
  <si>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</si>
  <si>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</si>
  <si>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</si>
  <si>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</si>
  <si>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</si>
  <si>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</si>
  <si>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</si>
  <si>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</si>
  <si>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</si>
  <si>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</si>
  <si>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</si>
  <si>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</si>
  <si>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</si>
  <si>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</si>
  <si>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</si>
  <si>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</si>
  <si>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</si>
  <si>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</si>
  <si>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</si>
  <si>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</si>
  <si>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</si>
  <si>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</si>
  <si>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</si>
  <si>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</si>
  <si>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</si>
  <si>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</si>
  <si>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</si>
  <si>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</si>
  <si>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</si>
  <si>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</si>
  <si>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</si>
  <si>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</si>
  <si>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</si>
  <si>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</si>
  <si>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</si>
  <si>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</si>
  <si>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</si>
  <si>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</si>
  <si>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</si>
  <si>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</si>
  <si>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</si>
  <si>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</si>
  <si>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</si>
  <si>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</si>
  <si>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</si>
  <si>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</si>
  <si>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</si>
  <si>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</si>
  <si>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</si>
  <si>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</si>
  <si>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</si>
  <si>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</si>
  <si>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</si>
  <si>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</si>
  <si>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</si>
  <si>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</si>
  <si>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</si>
  <si>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</si>
  <si>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</si>
  <si>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</si>
  <si>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</si>
  <si>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</si>
  <si>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</si>
  <si>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</si>
  <si>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</si>
  <si>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</si>
  <si>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</si>
  <si>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</si>
  <si>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</si>
  <si>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</si>
  <si>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</si>
  <si>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</si>
  <si>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</si>
  <si>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</si>
  <si>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</si>
  <si>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</si>
  <si>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</si>
  <si>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</si>
  <si>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</si>
  <si>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</si>
  <si>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</si>
  <si>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</si>
  <si>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</si>
  <si>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</si>
  <si>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</si>
  <si>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</si>
  <si>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</si>
  <si>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</si>
  <si>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</si>
  <si>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</si>
  <si>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</si>
  <si>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</si>
  <si>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</si>
  <si>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</si>
  <si>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</si>
  <si>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</si>
  <si>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</si>
  <si>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</si>
  <si>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</si>
  <si>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</si>
  <si>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</si>
  <si>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</si>
  <si>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</si>
  <si>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</si>
  <si>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</si>
  <si>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</si>
  <si>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</si>
  <si>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</si>
  <si>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</si>
  <si>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</si>
  <si>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</si>
  <si>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</si>
  <si>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</si>
  <si>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</si>
  <si>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</si>
  <si>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</si>
  <si>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</si>
  <si>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</si>
  <si>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</si>
  <si>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</si>
  <si>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</si>
  <si>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</si>
  <si>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</si>
  <si>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</si>
  <si>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</si>
  <si>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</si>
  <si>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</si>
  <si>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</si>
  <si>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</si>
  <si>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</si>
  <si>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</si>
  <si>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</si>
  <si>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</si>
  <si>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</si>
  <si>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</si>
  <si>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</si>
  <si>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</si>
  <si>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</si>
  <si>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</si>
  <si>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</si>
  <si>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</si>
  <si>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</si>
  <si>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</si>
  <si>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</si>
  <si>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</si>
  <si>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</si>
  <si>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</si>
  <si>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</si>
  <si>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</si>
  <si>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</si>
  <si>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</si>
  <si>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</si>
  <si>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</si>
  <si>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</si>
  <si>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</si>
  <si>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</si>
  <si>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</si>
  <si>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</si>
  <si>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</si>
  <si>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</si>
  <si>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</si>
  <si>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</si>
  <si>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</si>
  <si>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</si>
  <si>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</si>
  <si>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</si>
  <si>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</si>
  <si>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</si>
  <si>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</si>
  <si>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</si>
  <si>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</si>
  <si>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</si>
  <si>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</si>
  <si>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</si>
  <si>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</si>
  <si>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</si>
  <si>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</si>
  <si>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</si>
  <si>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</si>
  <si>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</si>
  <si>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</si>
  <si>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</si>
  <si>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</si>
  <si>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</si>
  <si>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</si>
  <si>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</si>
  <si>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</si>
  <si>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</si>
  <si>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</si>
  <si>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</si>
  <si>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</si>
  <si>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</si>
  <si>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</si>
  <si>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</si>
  <si>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</si>
  <si>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</si>
  <si>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</si>
  <si>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</si>
  <si>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</si>
  <si>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</si>
  <si>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</si>
  <si>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</si>
  <si>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</si>
  <si>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</si>
  <si>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</si>
  <si>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</si>
  <si>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</si>
  <si>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</si>
  <si>
    <t>OnTrigger機能の追加完了</t>
    <rPh sb="9" eb="11">
      <t>キノウ</t>
    </rPh>
    <rPh sb="12" eb="16">
      <t>ツイカカンリョウ</t>
    </rPh>
    <phoneticPr fontId="1"/>
  </si>
  <si>
    <t>だいぶさぼって進捗おそい</t>
    <rPh sb="7" eb="9">
      <t>シンチョク</t>
    </rPh>
    <phoneticPr fontId="1"/>
  </si>
  <si>
    <t>インターンもあるしやばいよ</t>
    <phoneticPr fontId="1"/>
  </si>
  <si>
    <t>次は、その最後の締めをした後、残りエフェクトの追加をする</t>
    <rPh sb="0" eb="1">
      <t>ツギ</t>
    </rPh>
    <rPh sb="5" eb="7">
      <t>サイゴ</t>
    </rPh>
    <rPh sb="8" eb="9">
      <t>シ</t>
    </rPh>
    <rPh sb="13" eb="14">
      <t>アト</t>
    </rPh>
    <rPh sb="15" eb="16">
      <t>ノコ</t>
    </rPh>
    <rPh sb="23" eb="25">
      <t>ツイカ</t>
    </rPh>
    <phoneticPr fontId="1"/>
  </si>
  <si>
    <t>エリア制限実装完了</t>
    <rPh sb="3" eb="5">
      <t>セイゲン</t>
    </rPh>
    <rPh sb="5" eb="7">
      <t>ジッソウ</t>
    </rPh>
    <rPh sb="7" eb="9">
      <t>カンリョウ</t>
    </rPh>
    <phoneticPr fontId="1"/>
  </si>
  <si>
    <t>ついgは、エフェクトをいろいろ追加するために、エフェクトマネージャーを作る</t>
    <rPh sb="15" eb="17">
      <t>ツイカ</t>
    </rPh>
    <rPh sb="35" eb="36">
      <t>ツク</t>
    </rPh>
    <phoneticPr fontId="1"/>
  </si>
  <si>
    <t>スキル技のエフェクトを作る、血殺の時のエフェクトを作る</t>
    <rPh sb="3" eb="4">
      <t>ワザ</t>
    </rPh>
    <rPh sb="11" eb="12">
      <t>ツク</t>
    </rPh>
    <rPh sb="14" eb="16">
      <t>チサツ</t>
    </rPh>
    <rPh sb="17" eb="18">
      <t>トキ</t>
    </rPh>
    <rPh sb="25" eb="26">
      <t>ツク</t>
    </rPh>
    <phoneticPr fontId="1"/>
  </si>
  <si>
    <t>タイトルシーン、リザルトシーンをつくる</t>
    <phoneticPr fontId="1"/>
  </si>
  <si>
    <t>時間が余ったらボス、チュートリアルを作れる</t>
    <rPh sb="0" eb="2">
      <t>ジカン</t>
    </rPh>
    <rPh sb="3" eb="4">
      <t>アマ</t>
    </rPh>
    <rPh sb="18" eb="19">
      <t>ツク</t>
    </rPh>
    <phoneticPr fontId="1"/>
  </si>
  <si>
    <t>エフェクトの修正は恋先輩に手伝ってもらう</t>
    <rPh sb="6" eb="8">
      <t>シュウセイ</t>
    </rPh>
    <rPh sb="9" eb="10">
      <t>レン</t>
    </rPh>
    <rPh sb="10" eb="12">
      <t>センパイ</t>
    </rPh>
    <rPh sb="13" eb="15">
      <t>テツダ</t>
    </rPh>
    <phoneticPr fontId="1"/>
  </si>
  <si>
    <t>エフェクトマネージャー作成終了、スキルエフェクト、血殺のエフェクトも作り終えた</t>
    <rPh sb="11" eb="15">
      <t>サクセイシュウリョウ</t>
    </rPh>
    <rPh sb="25" eb="27">
      <t>チサツ</t>
    </rPh>
    <rPh sb="34" eb="35">
      <t>ツク</t>
    </rPh>
    <rPh sb="36" eb="37">
      <t>オ</t>
    </rPh>
    <phoneticPr fontId="1"/>
  </si>
  <si>
    <t>クオリティが鬼微妙</t>
    <rPh sb="6" eb="9">
      <t>オニビミョウ</t>
    </rPh>
    <phoneticPr fontId="1"/>
  </si>
  <si>
    <t>次はタイトルシーンを作る</t>
    <rPh sb="0" eb="1">
      <t>ツギ</t>
    </rPh>
    <rPh sb="10" eb="11">
      <t>ツク</t>
    </rPh>
    <phoneticPr fontId="1"/>
  </si>
  <si>
    <t>なにつくろうとしてたかちょっとしかおもいだせない</t>
    <phoneticPr fontId="1"/>
  </si>
  <si>
    <t>今のところペルソナ風</t>
    <rPh sb="0" eb="1">
      <t>イマ</t>
    </rPh>
    <rPh sb="9" eb="10">
      <t>フウ</t>
    </rPh>
    <phoneticPr fontId="1"/>
  </si>
  <si>
    <t>タイトルシーン作成手順</t>
    <rPh sb="7" eb="9">
      <t>サクセイ</t>
    </rPh>
    <rPh sb="9" eb="11">
      <t>テジュン</t>
    </rPh>
    <phoneticPr fontId="1"/>
  </si>
  <si>
    <t>キャラを表示→キャラをフレームでコマンドで動かす→カメラを動かす→シェーダーでペルソナ風にする</t>
    <rPh sb="4" eb="6">
      <t>ヒョウジ</t>
    </rPh>
    <rPh sb="21" eb="22">
      <t>ウゴ</t>
    </rPh>
    <rPh sb="29" eb="30">
      <t>ウゴ</t>
    </rPh>
    <rPh sb="43" eb="44">
      <t>フウ</t>
    </rPh>
    <phoneticPr fontId="1"/>
  </si>
  <si>
    <t>フレームで動かす仕組みまでできた。次は、キャラを動かすところ</t>
    <rPh sb="5" eb="6">
      <t>ウゴ</t>
    </rPh>
    <rPh sb="8" eb="10">
      <t>シク</t>
    </rPh>
    <rPh sb="17" eb="18">
      <t>ツギ</t>
    </rPh>
    <rPh sb="24" eb="25">
      <t>ウゴ</t>
    </rPh>
    <phoneticPr fontId="1"/>
  </si>
  <si>
    <t>カメラとオブジェクトとの当たり判定をしないといけない</t>
    <rPh sb="12" eb="13">
      <t>ア</t>
    </rPh>
    <rPh sb="15" eb="17">
      <t>ハンテイ</t>
    </rPh>
    <phoneticPr fontId="1"/>
  </si>
  <si>
    <t>キャラを動かすところまでできたけど、モーションがダサすぎてむずそう</t>
    <rPh sb="4" eb="5">
      <t>ウゴ</t>
    </rPh>
    <phoneticPr fontId="1"/>
  </si>
  <si>
    <t>ゼンゼロのような足だけ移す→剣を拾う→タイトル</t>
    <rPh sb="8" eb="9">
      <t>アシ</t>
    </rPh>
    <rPh sb="11" eb="12">
      <t>ウツ</t>
    </rPh>
    <rPh sb="14" eb="15">
      <t>ケン</t>
    </rPh>
    <rPh sb="16" eb="17">
      <t>ヒロ</t>
    </rPh>
    <phoneticPr fontId="1"/>
  </si>
  <si>
    <t>敵を倒したりしてもいいかも</t>
    <rPh sb="0" eb="1">
      <t>テキ</t>
    </rPh>
    <rPh sb="2" eb="3">
      <t>タオ</t>
    </rPh>
    <phoneticPr fontId="1"/>
  </si>
  <si>
    <t>×</t>
    <phoneticPr fontId="1"/>
  </si>
  <si>
    <t>歩く→剣にもたれかかる→スタートしたら剣にいろいろ選択肢が出てくる→ゲームシーンへ</t>
    <rPh sb="0" eb="1">
      <t>アル</t>
    </rPh>
    <rPh sb="3" eb="4">
      <t>ケン</t>
    </rPh>
    <rPh sb="19" eb="20">
      <t>ケン</t>
    </rPh>
    <rPh sb="25" eb="28">
      <t>センタクシ</t>
    </rPh>
    <rPh sb="29" eb="30">
      <t>デ</t>
    </rPh>
    <phoneticPr fontId="1"/>
  </si>
  <si>
    <t>〇</t>
    <phoneticPr fontId="1"/>
  </si>
  <si>
    <t>剣を映す→足を映す→足からぜんたいへ→剣を取る→走る→キャラが止まる→タイトルを映す</t>
    <rPh sb="0" eb="1">
      <t>ケン</t>
    </rPh>
    <rPh sb="2" eb="3">
      <t>ウツ</t>
    </rPh>
    <rPh sb="5" eb="6">
      <t>アシ</t>
    </rPh>
    <rPh sb="7" eb="8">
      <t>ウツ</t>
    </rPh>
    <rPh sb="10" eb="11">
      <t>アシ</t>
    </rPh>
    <rPh sb="19" eb="20">
      <t>ケン</t>
    </rPh>
    <rPh sb="21" eb="22">
      <t>ト</t>
    </rPh>
    <rPh sb="24" eb="25">
      <t>ハシ</t>
    </rPh>
    <rPh sb="31" eb="32">
      <t>ト</t>
    </rPh>
    <rPh sb="40" eb="41">
      <t>ウツ</t>
    </rPh>
    <phoneticPr fontId="1"/>
  </si>
  <si>
    <t>ゼンゼロ風</t>
    <rPh sb="4" eb="5">
      <t>フウ</t>
    </rPh>
    <phoneticPr fontId="1"/>
  </si>
  <si>
    <t>キャラがとまった後、カメラを動かして、世界を見せる→タイトルロゴ</t>
    <rPh sb="8" eb="9">
      <t>アト</t>
    </rPh>
    <rPh sb="14" eb="15">
      <t>ウゴ</t>
    </rPh>
    <rPh sb="19" eb="21">
      <t>セカイ</t>
    </rPh>
    <rPh sb="22" eb="23">
      <t>ミ</t>
    </rPh>
    <phoneticPr fontId="1"/>
  </si>
  <si>
    <t>後は、キャラクターのモーションに合わせて剣を表示、非表示などをさせる</t>
    <rPh sb="0" eb="1">
      <t>アト</t>
    </rPh>
    <rPh sb="16" eb="17">
      <t>ア</t>
    </rPh>
    <rPh sb="20" eb="21">
      <t>ケン</t>
    </rPh>
    <rPh sb="22" eb="24">
      <t>ヒョウジ</t>
    </rPh>
    <rPh sb="25" eb="28">
      <t>ヒヒョウジ</t>
    </rPh>
    <phoneticPr fontId="1"/>
  </si>
  <si>
    <t>次は、ステージを作って、それらをうまく組み合わせて作る感じ</t>
    <rPh sb="0" eb="1">
      <t>ツギ</t>
    </rPh>
    <rPh sb="8" eb="9">
      <t>ツク</t>
    </rPh>
    <rPh sb="19" eb="20">
      <t>ク</t>
    </rPh>
    <rPh sb="21" eb="22">
      <t>ア</t>
    </rPh>
    <rPh sb="25" eb="26">
      <t>ツク</t>
    </rPh>
    <rPh sb="27" eb="28">
      <t>カン</t>
    </rPh>
    <phoneticPr fontId="1"/>
  </si>
  <si>
    <t>ステージ作りまで終わった、あとは白い線を出して疾走感をつけるだけ</t>
    <rPh sb="4" eb="5">
      <t>ツク</t>
    </rPh>
    <rPh sb="8" eb="9">
      <t>オ</t>
    </rPh>
    <rPh sb="16" eb="17">
      <t>シロ</t>
    </rPh>
    <rPh sb="18" eb="19">
      <t>セン</t>
    </rPh>
    <rPh sb="20" eb="21">
      <t>ダ</t>
    </rPh>
    <rPh sb="23" eb="25">
      <t>シッソウ</t>
    </rPh>
    <rPh sb="25" eb="26">
      <t>カン</t>
    </rPh>
    <phoneticPr fontId="1"/>
  </si>
  <si>
    <t>ネズミとぶつかったら血殺！って出す</t>
    <rPh sb="10" eb="11">
      <t>チ</t>
    </rPh>
    <rPh sb="11" eb="12">
      <t>サツ</t>
    </rPh>
    <rPh sb="15" eb="16">
      <t>ダ</t>
    </rPh>
    <phoneticPr fontId="1"/>
  </si>
  <si>
    <t>タイトルシーンいったん完成、次は、リザルト画面</t>
    <rPh sb="11" eb="13">
      <t>カンセイ</t>
    </rPh>
    <rPh sb="14" eb="15">
      <t>ツギ</t>
    </rPh>
    <rPh sb="21" eb="23">
      <t>ガメン</t>
    </rPh>
    <phoneticPr fontId="1"/>
  </si>
  <si>
    <t>リザルト画面案</t>
    <rPh sb="4" eb="6">
      <t>ガメン</t>
    </rPh>
    <rPh sb="6" eb="7">
      <t>アン</t>
    </rPh>
    <phoneticPr fontId="1"/>
  </si>
  <si>
    <t>ゲームシーンのラストヒットを血殺のみで倒せるようにする→血殺からのリザルト画面演出</t>
    <rPh sb="14" eb="16">
      <t>チサツ</t>
    </rPh>
    <rPh sb="19" eb="20">
      <t>タオ</t>
    </rPh>
    <rPh sb="28" eb="30">
      <t>チサツ</t>
    </rPh>
    <rPh sb="37" eb="39">
      <t>ガメン</t>
    </rPh>
    <rPh sb="39" eb="41">
      <t>エンシュツ</t>
    </rPh>
    <phoneticPr fontId="1"/>
  </si>
  <si>
    <t>スコアが出る→血殺→スコア変更→ペルソナみたいな画角で終わり</t>
    <rPh sb="4" eb="5">
      <t>デ</t>
    </rPh>
    <rPh sb="7" eb="9">
      <t>チサツ</t>
    </rPh>
    <rPh sb="13" eb="15">
      <t>ヘンコウ</t>
    </rPh>
    <rPh sb="24" eb="26">
      <t>ガカク</t>
    </rPh>
    <rPh sb="27" eb="28">
      <t>オ</t>
    </rPh>
    <phoneticPr fontId="1"/>
  </si>
  <si>
    <t>リザルト画面→時間→スコアを表示</t>
    <rPh sb="4" eb="6">
      <t>ガメン</t>
    </rPh>
    <rPh sb="7" eb="9">
      <t>ジカン</t>
    </rPh>
    <rPh sb="14" eb="16">
      <t>ヒョウジ</t>
    </rPh>
    <phoneticPr fontId="1"/>
  </si>
  <si>
    <t>Sだのそんな感じのやつ</t>
    <rPh sb="6" eb="7">
      <t>カン</t>
    </rPh>
    <phoneticPr fontId="1"/>
  </si>
  <si>
    <t>リザルトはモデルを切るようにする</t>
    <rPh sb="9" eb="10">
      <t>キ</t>
    </rPh>
    <phoneticPr fontId="1"/>
  </si>
  <si>
    <t>スコアのモデルはダウンロードに作ったので、一旦、それを回転しながら表示させるなどをする</t>
    <rPh sb="15" eb="16">
      <t>ツク</t>
    </rPh>
    <rPh sb="21" eb="23">
      <t>イッタン</t>
    </rPh>
    <rPh sb="27" eb="29">
      <t>カイテン</t>
    </rPh>
    <rPh sb="33" eb="35">
      <t>ヒョウジ</t>
    </rPh>
    <phoneticPr fontId="1"/>
  </si>
  <si>
    <t>そのあと、切るアニメーションなどをして、モデルを切り崩すようにする</t>
    <rPh sb="5" eb="6">
      <t>キ</t>
    </rPh>
    <rPh sb="24" eb="25">
      <t>キ</t>
    </rPh>
    <rPh sb="26" eb="27">
      <t>クズ</t>
    </rPh>
    <phoneticPr fontId="1"/>
  </si>
  <si>
    <t>やること</t>
    <phoneticPr fontId="1"/>
  </si>
  <si>
    <t>リザルトシーンは触、学校でやった、キャラクターを赤単色で表示まで終わっている(あんまり進んでいないため、強硬してもよい</t>
    <rPh sb="8" eb="9">
      <t>サワ</t>
    </rPh>
    <rPh sb="10" eb="12">
      <t>ガッコウ</t>
    </rPh>
    <rPh sb="24" eb="25">
      <t>アカ</t>
    </rPh>
    <rPh sb="25" eb="27">
      <t>タンショク</t>
    </rPh>
    <rPh sb="28" eb="30">
      <t>ヒョウジ</t>
    </rPh>
    <rPh sb="32" eb="33">
      <t>オ</t>
    </rPh>
    <rPh sb="43" eb="44">
      <t>スス</t>
    </rPh>
    <rPh sb="52" eb="54">
      <t>キョウコウ</t>
    </rPh>
    <phoneticPr fontId="1"/>
  </si>
  <si>
    <t>ボスを作る、そのあとは、ゲームシーンでやることをする(バグ直しorポーズシーンの追加等)</t>
    <rPh sb="3" eb="4">
      <t>ツク</t>
    </rPh>
    <rPh sb="29" eb="30">
      <t>ナオ</t>
    </rPh>
    <rPh sb="40" eb="43">
      <t>ツイカトウ</t>
    </rPh>
    <phoneticPr fontId="1"/>
  </si>
  <si>
    <t>bossを作りたいなーー</t>
    <rPh sb="5" eb="6">
      <t>ツク</t>
    </rPh>
    <phoneticPr fontId="1"/>
  </si>
  <si>
    <t>bossの攻撃方法</t>
    <rPh sb="5" eb="9">
      <t>コウゲキホウホウ</t>
    </rPh>
    <phoneticPr fontId="1"/>
  </si>
  <si>
    <t>魔法近距離攻撃、魔法遠距離攻撃、雑魚敵召喚</t>
    <rPh sb="0" eb="2">
      <t>マホウ</t>
    </rPh>
    <rPh sb="2" eb="7">
      <t>キンキョリコウゲキ</t>
    </rPh>
    <rPh sb="8" eb="10">
      <t>マホウ</t>
    </rPh>
    <rPh sb="10" eb="15">
      <t>エンキョリコウゲキ</t>
    </rPh>
    <rPh sb="16" eb="18">
      <t>ザコ</t>
    </rPh>
    <rPh sb="18" eb="19">
      <t>テキ</t>
    </rPh>
    <rPh sb="19" eb="21">
      <t>ショウカン</t>
    </rPh>
    <phoneticPr fontId="1"/>
  </si>
  <si>
    <t>EnemySwordManと同じつくりのStatePatternは実装したから、今からするのは、攻撃の中身の実装をしていく、↑三つのやつ</t>
    <rPh sb="14" eb="15">
      <t>オナ</t>
    </rPh>
    <rPh sb="33" eb="35">
      <t>ジッソウ</t>
    </rPh>
    <rPh sb="40" eb="41">
      <t>イマ</t>
    </rPh>
    <rPh sb="48" eb="50">
      <t>コウゲキ</t>
    </rPh>
    <rPh sb="51" eb="53">
      <t>ナカミ</t>
    </rPh>
    <rPh sb="54" eb="56">
      <t>ジッソウ</t>
    </rPh>
    <rPh sb="63" eb="64">
      <t>ミッ</t>
    </rPh>
    <phoneticPr fontId="1"/>
  </si>
  <si>
    <t>そのあと、それら攻撃の当たり判定を生成する仕組み、そのあと、エフェクト制作</t>
    <rPh sb="8" eb="10">
      <t>コウゲキ</t>
    </rPh>
    <rPh sb="11" eb="12">
      <t>ア</t>
    </rPh>
    <rPh sb="14" eb="15">
      <t>ハン</t>
    </rPh>
    <rPh sb="17" eb="19">
      <t>セイセイ</t>
    </rPh>
    <rPh sb="21" eb="23">
      <t>シク</t>
    </rPh>
    <rPh sb="35" eb="37">
      <t>セイサク</t>
    </rPh>
    <phoneticPr fontId="1"/>
  </si>
  <si>
    <t>そのあと、でかいからカメラをいろいろしたりとかかなー</t>
    <phoneticPr fontId="1"/>
  </si>
  <si>
    <t>遠距離攻撃、いったん完成</t>
    <rPh sb="0" eb="5">
      <t>エンキョリコウゲキ</t>
    </rPh>
    <rPh sb="10" eb="12">
      <t>カンセイ</t>
    </rPh>
    <phoneticPr fontId="1"/>
  </si>
  <si>
    <t>次は、近距離攻撃</t>
    <rPh sb="0" eb="1">
      <t>ツギ</t>
    </rPh>
    <rPh sb="3" eb="8">
      <t>キンキョリコウゲキ</t>
    </rPh>
    <phoneticPr fontId="1"/>
  </si>
  <si>
    <t>近距離も、雑魚敵召喚も終わった</t>
    <rPh sb="0" eb="3">
      <t>キンキョリ</t>
    </rPh>
    <rPh sb="5" eb="10">
      <t>ザコテキショウカン</t>
    </rPh>
    <rPh sb="11" eb="12">
      <t>オ</t>
    </rPh>
    <phoneticPr fontId="1"/>
  </si>
  <si>
    <t>後は、ボスを丁寧に動かす、出現させる、スタンステート、ラストヒット演出って感じ</t>
    <rPh sb="0" eb="1">
      <t>アト</t>
    </rPh>
    <rPh sb="6" eb="8">
      <t>テイネイ</t>
    </rPh>
    <rPh sb="9" eb="10">
      <t>ウゴ</t>
    </rPh>
    <rPh sb="13" eb="15">
      <t>シュツゲン</t>
    </rPh>
    <rPh sb="33" eb="35">
      <t>エンシュツ</t>
    </rPh>
    <rPh sb="37" eb="38">
      <t>カン</t>
    </rPh>
    <phoneticPr fontId="1"/>
  </si>
  <si>
    <t>音をだす</t>
    <rPh sb="0" eb="1">
      <t>オト</t>
    </rPh>
    <phoneticPr fontId="1"/>
  </si>
  <si>
    <t>GameOverSceneの実装がまだだった</t>
    <rPh sb="14" eb="16">
      <t>ジッソウ</t>
    </rPh>
    <phoneticPr fontId="1"/>
  </si>
  <si>
    <t>残りタスク洗い出し</t>
    <rPh sb="0" eb="1">
      <t>ノコ</t>
    </rPh>
    <rPh sb="5" eb="6">
      <t>アラ</t>
    </rPh>
    <rPh sb="7" eb="8">
      <t>ダ</t>
    </rPh>
    <phoneticPr fontId="1"/>
  </si>
  <si>
    <t>ボスを動かす</t>
    <rPh sb="3" eb="4">
      <t>ウゴ</t>
    </rPh>
    <phoneticPr fontId="1"/>
  </si>
  <si>
    <t>ボス用の血殺を作る(最後の)</t>
    <rPh sb="2" eb="3">
      <t>ヨウ</t>
    </rPh>
    <rPh sb="4" eb="6">
      <t>チサツ</t>
    </rPh>
    <rPh sb="7" eb="8">
      <t>ツク</t>
    </rPh>
    <rPh sb="10" eb="12">
      <t>サイゴ</t>
    </rPh>
    <phoneticPr fontId="1"/>
  </si>
  <si>
    <t>boss登場時のカメラ演出</t>
    <rPh sb="4" eb="7">
      <t>トウジョウジ</t>
    </rPh>
    <rPh sb="11" eb="13">
      <t>エンシュツ</t>
    </rPh>
    <phoneticPr fontId="1"/>
  </si>
  <si>
    <t>UIをしっかりしたのに変える</t>
    <rPh sb="11" eb="12">
      <t>カ</t>
    </rPh>
    <phoneticPr fontId="1"/>
  </si>
  <si>
    <t>ポーズシーンを作る</t>
    <phoneticPr fontId="1"/>
  </si>
  <si>
    <t>ポーズシーンを作る(LT押したら、ボタンガイドが出るとかでも全然いい)</t>
    <rPh sb="12" eb="13">
      <t>オ</t>
    </rPh>
    <rPh sb="24" eb="25">
      <t>デ</t>
    </rPh>
    <rPh sb="30" eb="32">
      <t>ゼンゼン</t>
    </rPh>
    <phoneticPr fontId="1"/>
  </si>
  <si>
    <t>音をつける</t>
    <rPh sb="0" eb="1">
      <t>オト</t>
    </rPh>
    <phoneticPr fontId="1"/>
  </si>
  <si>
    <t>ゲームオーバーシーン(死でいい)</t>
    <rPh sb="11" eb="12">
      <t>シ</t>
    </rPh>
    <phoneticPr fontId="1"/>
  </si>
  <si>
    <t>C</t>
    <phoneticPr fontId="1"/>
  </si>
  <si>
    <t>S</t>
    <phoneticPr fontId="1"/>
  </si>
  <si>
    <t>A</t>
    <phoneticPr fontId="1"/>
  </si>
  <si>
    <t>3日</t>
    <rPh sb="1" eb="2">
      <t>ニチ</t>
    </rPh>
    <phoneticPr fontId="1"/>
  </si>
  <si>
    <t>回避を消す</t>
    <rPh sb="0" eb="2">
      <t>カイヒ</t>
    </rPh>
    <rPh sb="3" eb="4">
      <t>ケ</t>
    </rPh>
    <phoneticPr fontId="1"/>
  </si>
  <si>
    <t>ボスステート</t>
    <phoneticPr fontId="1"/>
  </si>
  <si>
    <t>Idle</t>
    <phoneticPr fontId="1"/>
  </si>
  <si>
    <t>Attack</t>
    <phoneticPr fontId="1"/>
  </si>
  <si>
    <t>Stun</t>
    <phoneticPr fontId="1"/>
  </si>
  <si>
    <t>LockOnManagerをつくる</t>
    <phoneticPr fontId="1"/>
  </si>
  <si>
    <t>CameraシステムをUnityのものからStatePatternのものにUpgradeする</t>
    <phoneticPr fontId="1"/>
  </si>
  <si>
    <t>当たり判定周りの修正案について</t>
    <rPh sb="0" eb="1">
      <t>ア</t>
    </rPh>
    <rPh sb="3" eb="5">
      <t>ハンテイ</t>
    </rPh>
    <rPh sb="5" eb="6">
      <t>マワ</t>
    </rPh>
    <rPh sb="8" eb="11">
      <t>シュウセイアン</t>
    </rPh>
    <phoneticPr fontId="1"/>
  </si>
  <si>
    <t>現状shared_ptrで管理しているせいで、参照が増えて、消したり登録したりが面倒</t>
    <rPh sb="0" eb="2">
      <t>ゲンジョウ</t>
    </rPh>
    <rPh sb="13" eb="15">
      <t>カンリ</t>
    </rPh>
    <rPh sb="23" eb="25">
      <t>サンショウ</t>
    </rPh>
    <rPh sb="26" eb="27">
      <t>フ</t>
    </rPh>
    <rPh sb="30" eb="31">
      <t>ケ</t>
    </rPh>
    <rPh sb="34" eb="36">
      <t>トウロク</t>
    </rPh>
    <rPh sb="40" eb="42">
      <t>メンドウ</t>
    </rPh>
    <phoneticPr fontId="1"/>
  </si>
  <si>
    <t>登録したり、登録解除したりが面倒</t>
    <rPh sb="0" eb="2">
      <t>トウロク</t>
    </rPh>
    <rPh sb="6" eb="10">
      <t>トウロクカイジョ</t>
    </rPh>
    <rPh sb="14" eb="16">
      <t>メンドウ</t>
    </rPh>
    <phoneticPr fontId="1"/>
  </si>
  <si>
    <t>・</t>
    <phoneticPr fontId="1"/>
  </si>
  <si>
    <t>ジャンプの時のカメラ挙動はどういう風にしているのか気になる</t>
    <rPh sb="5" eb="6">
      <t>トキ</t>
    </rPh>
    <rPh sb="10" eb="12">
      <t>キョドウ</t>
    </rPh>
    <rPh sb="17" eb="18">
      <t>フウ</t>
    </rPh>
    <rPh sb="25" eb="26">
      <t>キ</t>
    </rPh>
    <phoneticPr fontId="1"/>
  </si>
  <si>
    <t>ロックオンの時の注視点はどうしているのか気になる</t>
    <rPh sb="6" eb="7">
      <t>トキ</t>
    </rPh>
    <rPh sb="8" eb="10">
      <t>チュウシ</t>
    </rPh>
    <rPh sb="10" eb="11">
      <t>テン</t>
    </rPh>
    <rPh sb="20" eb="21">
      <t>キ</t>
    </rPh>
    <phoneticPr fontId="1"/>
  </si>
  <si>
    <t>playerにロックオンマネージャーを持たす</t>
    <rPh sb="19" eb="20">
      <t>モ</t>
    </rPh>
    <phoneticPr fontId="1"/>
  </si>
  <si>
    <t>そこからゲットさせる</t>
    <phoneticPr fontId="1"/>
  </si>
  <si>
    <t>【フィードバック内容】</t>
  </si>
  <si>
    <t>・カメラの切り替えが急すぎるため補間を入れる（ロックオン周りなど）</t>
  </si>
  <si>
    <t>・キャラクターがとった行動に対してのリアクションが薄い</t>
  </si>
  <si>
    <t>・Bボタンのアクションが何か分からない</t>
  </si>
  <si>
    <t>・空中でのアクションは出るのが正しい？</t>
  </si>
  <si>
    <t>・ポーズの機能</t>
  </si>
  <si>
    <t>・ロックオンカーソル</t>
  </si>
  <si>
    <t>・敵がどれくらいで倒せるのかが分からない</t>
  </si>
  <si>
    <t>・モーションとアクションが合っていない（足が滑っている）</t>
  </si>
  <si>
    <t>・画面が止まっている時間がある（タイトル）</t>
  </si>
  <si>
    <t>・必殺で片翼を出した時、プレイヤーに対して何かしらのフィードバックが欲しい</t>
  </si>
  <si>
    <t>・必殺でリソースが足りなかった時、足りなかったことが分からない</t>
  </si>
  <si>
    <t>・ゲージが分かり辛い（表現の工夫？）</t>
  </si>
  <si>
    <t>・ゲームの目的が分かる演出を入れる</t>
  </si>
  <si>
    <t>・次のウェーブに進んだことが分かる演出を入れる</t>
  </si>
  <si>
    <t>・歩き、ジャンプ、攻撃の踏み込みにエフェクトを入れる</t>
  </si>
  <si>
    <t>・敵死亡時、パッと消えないようにする</t>
  </si>
  <si>
    <t>・移動手段が歩きのみ（ステップやダッシュは不要？）</t>
  </si>
  <si>
    <t>・モーションと当たり判定が合っていない</t>
  </si>
  <si>
    <t>・打撃と斬撃で同じエフェクトが出ている</t>
  </si>
  <si>
    <t>・当たり判定を大きい球ではなく、複数の球を持つようにする</t>
  </si>
  <si>
    <t>GameSceneのロックオン処理は3つ</t>
    <rPh sb="15" eb="17">
      <t>ショリ</t>
    </rPh>
    <phoneticPr fontId="1"/>
  </si>
  <si>
    <t>ゲームシーン終了、次はplayerからattackColに渡したりしているところの変更</t>
    <rPh sb="6" eb="8">
      <t>シュウリョウ</t>
    </rPh>
    <rPh sb="9" eb="10">
      <t>ツギ</t>
    </rPh>
    <phoneticPr fontId="1"/>
  </si>
  <si>
    <t>コンボノードは一定時間攻撃していなかったら出す</t>
    <rPh sb="7" eb="11">
      <t>イッテイジカン</t>
    </rPh>
    <rPh sb="11" eb="13">
      <t>コウゲキ</t>
    </rPh>
    <rPh sb="21" eb="22">
      <t>ダ</t>
    </rPh>
    <phoneticPr fontId="1"/>
  </si>
  <si>
    <t>案</t>
    <rPh sb="0" eb="1">
      <t>アン</t>
    </rPh>
    <phoneticPr fontId="1"/>
  </si>
  <si>
    <t>敵の色が体力によって変わっていくと、敵がhpを減っていってるのがわかりやすい</t>
    <rPh sb="0" eb="1">
      <t>テキ</t>
    </rPh>
    <rPh sb="2" eb="3">
      <t>イロ</t>
    </rPh>
    <rPh sb="4" eb="6">
      <t>タイリョク</t>
    </rPh>
    <rPh sb="10" eb="11">
      <t>カ</t>
    </rPh>
    <rPh sb="18" eb="19">
      <t>テキ</t>
    </rPh>
    <rPh sb="23" eb="24">
      <t>ヘ</t>
    </rPh>
    <phoneticPr fontId="1"/>
  </si>
  <si>
    <t>翼をゲージないときは出さない</t>
    <rPh sb="0" eb="1">
      <t>ツバサ</t>
    </rPh>
    <rPh sb="10" eb="11">
      <t>ダ</t>
    </rPh>
    <phoneticPr fontId="1"/>
  </si>
  <si>
    <t>当たり判定を攻撃ごとに調整は優先度高い</t>
    <rPh sb="0" eb="1">
      <t>ア</t>
    </rPh>
    <rPh sb="3" eb="5">
      <t>ハンテイ</t>
    </rPh>
    <rPh sb="6" eb="8">
      <t>コウゲキ</t>
    </rPh>
    <rPh sb="11" eb="13">
      <t>チョウセイ</t>
    </rPh>
    <rPh sb="14" eb="17">
      <t>ユウセンド</t>
    </rPh>
    <rPh sb="17" eb="18">
      <t>タカ</t>
    </rPh>
    <phoneticPr fontId="1"/>
  </si>
  <si>
    <t>攻撃アニメーションの当たり判定を出すタイミングは割合ではなく、フレームで管理したほうがいい</t>
    <rPh sb="0" eb="2">
      <t>コウゲキ</t>
    </rPh>
    <rPh sb="10" eb="11">
      <t>ア</t>
    </rPh>
    <rPh sb="13" eb="15">
      <t>ハンテイ</t>
    </rPh>
    <rPh sb="16" eb="17">
      <t>ダ</t>
    </rPh>
    <rPh sb="24" eb="26">
      <t>ワリアイ</t>
    </rPh>
    <rPh sb="36" eb="38">
      <t>カンリ</t>
    </rPh>
    <phoneticPr fontId="1"/>
  </si>
  <si>
    <t>そっちのほうが直感的だから</t>
    <rPh sb="7" eb="10">
      <t>チョッカンテキ</t>
    </rPh>
    <phoneticPr fontId="1"/>
  </si>
  <si>
    <t>攻撃の当たり判定はしっかり剣に沿わせたほうがいい</t>
    <rPh sb="0" eb="2">
      <t>コウゲキ</t>
    </rPh>
    <rPh sb="3" eb="4">
      <t>ア</t>
    </rPh>
    <rPh sb="6" eb="8">
      <t>ハンテイ</t>
    </rPh>
    <rPh sb="13" eb="14">
      <t>ケン</t>
    </rPh>
    <rPh sb="15" eb="16">
      <t>ソ</t>
    </rPh>
    <phoneticPr fontId="1"/>
  </si>
  <si>
    <t>あたった位置をとれるというのと、見た目に忠実に沿っているから、</t>
    <rPh sb="4" eb="6">
      <t>イチ</t>
    </rPh>
    <rPh sb="16" eb="17">
      <t>ミ</t>
    </rPh>
    <rPh sb="18" eb="19">
      <t>メ</t>
    </rPh>
    <rPh sb="20" eb="22">
      <t>チュウジツ</t>
    </rPh>
    <rPh sb="23" eb="24">
      <t>ソ</t>
    </rPh>
    <phoneticPr fontId="1"/>
  </si>
  <si>
    <t>やられ判定は</t>
    <rPh sb="3" eb="5">
      <t>ハンテイ</t>
    </rPh>
    <phoneticPr fontId="1"/>
  </si>
  <si>
    <t>やられ判定は球で、押し戻しをシリンダー</t>
    <rPh sb="3" eb="5">
      <t>ハンテイ</t>
    </rPh>
    <rPh sb="6" eb="7">
      <t>キュウ</t>
    </rPh>
    <rPh sb="9" eb="10">
      <t>オ</t>
    </rPh>
    <rPh sb="11" eb="12">
      <t>モド</t>
    </rPh>
    <phoneticPr fontId="1"/>
  </si>
  <si>
    <t>理由は球同士の当たり判定が一番軽いから</t>
    <rPh sb="0" eb="2">
      <t>リユウ</t>
    </rPh>
    <rPh sb="3" eb="6">
      <t>キュウドウシ</t>
    </rPh>
    <rPh sb="7" eb="8">
      <t>ア</t>
    </rPh>
    <rPh sb="10" eb="12">
      <t>ハンテイ</t>
    </rPh>
    <rPh sb="13" eb="16">
      <t>イチバンカル</t>
    </rPh>
    <phoneticPr fontId="1"/>
  </si>
  <si>
    <t>扱いやすいならカプセルでもいいが、</t>
    <rPh sb="0" eb="1">
      <t>アツカ</t>
    </rPh>
    <phoneticPr fontId="1"/>
  </si>
  <si>
    <t>基本円柱とか球でいい</t>
    <rPh sb="0" eb="2">
      <t>キホン</t>
    </rPh>
    <rPh sb="2" eb="4">
      <t>エンチュウ</t>
    </rPh>
    <rPh sb="6" eb="7">
      <t>キュウ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</si>
</sst>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10">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
      <b/>
      <sz val="11"/>
      <color rgb="FF242424"/>
      <name val="Cascadia Mono"/>
      <family val="3"/>
    </font>
    <font>
      <sz val="11"/>
      <color rgb="FF242424"/>
      <name val="Cascadia Mono"/>
      <family val="3"/>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7">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xf numFmtId="0" fontId="8" fillId="0" borderId="0" xfId="0" applyFont="1"/>
    <xf numFmtId="0" fontId="9" fillId="0" borderId="0" xfId="0" applyFont="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468</v>
      </c>
      <c r="D5" s="3">
        <f ca="1" xml:space="preserve"> C4 / C5</f>
        <v>5.3418803418803416E-2</v>
      </c>
    </row>
    <row r="6" spans="2:5">
      <c r="B6" s="7" t="s">
        <v>9</v>
      </c>
      <c r="C6" s="1">
        <f>DATE(2024,11,7)</f>
        <v>45603</v>
      </c>
    </row>
    <row r="7" spans="2:5">
      <c r="B7" s="8" t="s">
        <v>11</v>
      </c>
      <c r="C7" s="1">
        <f ca="1">TODAY()</f>
        <v>46258</v>
      </c>
    </row>
    <row r="9" spans="2:5">
      <c r="D9" t="s">
        <v>12</v>
      </c>
      <c r="E9" t="s">
        <v>13</v>
      </c>
    </row>
    <row r="10" spans="2:5">
      <c r="B10" s="4" t="s">
        <v>15</v>
      </c>
      <c r="C10" s="1">
        <f>DATE(2024,12,20)</f>
        <v>45646</v>
      </c>
      <c r="D10" s="2">
        <f ca="1">NETWORKDAYS(TODAY(),C10)</f>
        <v>-437</v>
      </c>
      <c r="E10" s="3">
        <f ca="1">($C$3 - $C$4) / D10</f>
        <v>-0.38215102974828374</v>
      </c>
    </row>
    <row r="11" spans="2:5">
      <c r="B11" s="9" t="s">
        <v>16</v>
      </c>
      <c r="C11" s="1">
        <f>DATE(2025,1,17)</f>
        <v>45674</v>
      </c>
      <c r="D11" s="2">
        <f ca="1">NETWORKDAYS(TODAY(),C11)</f>
        <v>-417</v>
      </c>
      <c r="E11" s="3">
        <f ca="1">($C$3 - $C$4) / D11</f>
        <v>-0.40047961630695444</v>
      </c>
    </row>
    <row r="12" spans="2:5">
      <c r="B12" s="6" t="s">
        <v>17</v>
      </c>
      <c r="C12" s="1">
        <f>DATE(2025,2,3)</f>
        <v>45691</v>
      </c>
      <c r="D12" s="2">
        <f ca="1">NETWORKDAYS(TODAY(),C12)</f>
        <v>-406</v>
      </c>
      <c r="E12" s="3">
        <f ca="1">($C$3 - $C$4) / D12</f>
        <v>-0.41133004926108374</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7</v>
      </c>
      <c r="N3" s="10">
        <f ca="1">K3/M3</f>
        <v>14.428571428571429</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-38</v>
      </c>
      <c r="N4" s="10">
        <f ca="1">J4/M4</f>
        <v>-2.4736842105263159</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-14</v>
      </c>
      <c r="N5" s="10">
        <f t="shared" ref="N5:N6" ca="1" si="1">J5/M5</f>
        <v>-5.8571428571428568</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3</v>
      </c>
      <c r="N6" s="10">
        <f t="shared" ca="1" si="1"/>
        <v>5.333333333333333</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D246"/>
  <sheetViews>
    <sheetView topLeftCell="A234" workbookViewId="0">
      <selection activeCell="C247" sqref="C247"/>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row r="169" spans="1:3">
      <c r="C169" t="s">
        <v>489</v>
      </c>
    </row>
    <row r="170" spans="1:3">
      <c r="C170" t="s">
        <v>490</v>
      </c>
    </row>
    <row r="171" spans="1:3">
      <c r="C171" t="s">
        <v>491</v>
      </c>
    </row>
    <row r="172" spans="1:3">
      <c r="C172" t="s">
        <v>492</v>
      </c>
    </row>
    <row r="173" spans="1:3">
      <c r="A173" s="1">
        <v>46242</v>
      </c>
      <c r="C173" t="s">
        <v>493</v>
      </c>
    </row>
    <row r="174" spans="1:3">
      <c r="C174" t="s">
        <v>494</v>
      </c>
    </row>
    <row r="175" spans="1:3">
      <c r="C175" t="s">
        <v>495</v>
      </c>
    </row>
    <row r="176" spans="1:3">
      <c r="C176" t="s">
        <v>496</v>
      </c>
    </row>
    <row r="177" spans="1:3">
      <c r="C177" t="s">
        <v>497</v>
      </c>
    </row>
    <row r="179" spans="1:3">
      <c r="A179" s="1">
        <v>46244</v>
      </c>
      <c r="C179" t="s">
        <v>498</v>
      </c>
    </row>
    <row r="180" spans="1:3">
      <c r="C180" t="s">
        <v>499</v>
      </c>
    </row>
    <row r="181" spans="1:3">
      <c r="C181" t="s">
        <v>500</v>
      </c>
    </row>
    <row r="182" spans="1:3">
      <c r="C182" t="s">
        <v>501</v>
      </c>
    </row>
    <row r="183" spans="1:3">
      <c r="C183" t="s">
        <v>502</v>
      </c>
    </row>
    <row r="184" spans="1:3">
      <c r="C184" t="s">
        <v>503</v>
      </c>
    </row>
    <row r="186" spans="1:3">
      <c r="C186" t="s">
        <v>504</v>
      </c>
    </row>
    <row r="187" spans="1:3">
      <c r="C187" t="s">
        <v>505</v>
      </c>
    </row>
    <row r="188" spans="1:3">
      <c r="C188" t="s">
        <v>506</v>
      </c>
    </row>
    <row r="189" spans="1:3">
      <c r="C189" t="s">
        <v>507</v>
      </c>
    </row>
    <row r="191" spans="1:3">
      <c r="C191" t="s">
        <v>508</v>
      </c>
    </row>
    <row r="192" spans="1:3">
      <c r="B192" t="s">
        <v>511</v>
      </c>
      <c r="C192" t="s">
        <v>509</v>
      </c>
    </row>
    <row r="193" spans="1:3">
      <c r="B193" t="s">
        <v>511</v>
      </c>
      <c r="C193" t="s">
        <v>510</v>
      </c>
    </row>
    <row r="194" spans="1:3">
      <c r="A194" t="s">
        <v>515</v>
      </c>
      <c r="B194" t="s">
        <v>513</v>
      </c>
      <c r="C194" t="s">
        <v>514</v>
      </c>
    </row>
    <row r="195" spans="1:3">
      <c r="B195" t="s">
        <v>511</v>
      </c>
      <c r="C195" t="s">
        <v>512</v>
      </c>
    </row>
    <row r="196" spans="1:3">
      <c r="C196" t="s">
        <v>516</v>
      </c>
    </row>
    <row r="197" spans="1:3">
      <c r="C197" t="s">
        <v>517</v>
      </c>
    </row>
    <row r="198" spans="1:3">
      <c r="C198" t="s">
        <v>518</v>
      </c>
    </row>
    <row r="199" spans="1:3">
      <c r="C199" t="s">
        <v>519</v>
      </c>
    </row>
    <row r="200" spans="1:3">
      <c r="C200" t="s">
        <v>520</v>
      </c>
    </row>
    <row r="202" spans="1:3">
      <c r="C202" t="s">
        <v>521</v>
      </c>
    </row>
    <row r="203" spans="1:3">
      <c r="C203" t="s">
        <v>522</v>
      </c>
    </row>
    <row r="204" spans="1:3">
      <c r="C204" t="s">
        <v>523</v>
      </c>
    </row>
    <row r="205" spans="1:3">
      <c r="C205" t="s">
        <v>524</v>
      </c>
    </row>
    <row r="207" spans="1:3">
      <c r="C207" t="s">
        <v>525</v>
      </c>
    </row>
    <row r="208" spans="1:3">
      <c r="C208" t="s">
        <v>526</v>
      </c>
    </row>
    <row r="209" spans="1:3">
      <c r="C209" t="s">
        <v>527</v>
      </c>
    </row>
    <row r="210" spans="1:3">
      <c r="C210" t="s">
        <v>528</v>
      </c>
    </row>
    <row r="211" spans="1:3">
      <c r="C211" t="s">
        <v>529</v>
      </c>
    </row>
    <row r="212" spans="1:3">
      <c r="A212" s="1">
        <v>46255</v>
      </c>
      <c r="C212" t="s">
        <v>530</v>
      </c>
    </row>
    <row r="213" spans="1:3">
      <c r="C213" t="s">
        <v>531</v>
      </c>
    </row>
    <row r="214" spans="1:3">
      <c r="C214" t="s">
        <v>532</v>
      </c>
    </row>
    <row r="215" spans="1:3">
      <c r="C215" t="s">
        <v>533</v>
      </c>
    </row>
    <row r="216" spans="1:3">
      <c r="C216" t="s">
        <v>534</v>
      </c>
    </row>
    <row r="217" spans="1:3">
      <c r="C217" t="s">
        <v>535</v>
      </c>
    </row>
    <row r="218" spans="1:3">
      <c r="C218" t="s">
        <v>536</v>
      </c>
    </row>
    <row r="219" spans="1:3">
      <c r="C219" t="s">
        <v>537</v>
      </c>
    </row>
    <row r="220" spans="1:3">
      <c r="C220" t="s">
        <v>538</v>
      </c>
    </row>
    <row r="221" spans="1:3">
      <c r="C221" t="s">
        <v>539</v>
      </c>
    </row>
    <row r="222" spans="1:3">
      <c r="C222" t="s">
        <v>540</v>
      </c>
    </row>
    <row r="223" spans="1:3">
      <c r="C223" t="s">
        <v>541</v>
      </c>
    </row>
    <row r="224" spans="1:3">
      <c r="A224" s="1">
        <v>46257</v>
      </c>
      <c r="C224" t="s">
        <v>542</v>
      </c>
    </row>
    <row r="225" spans="1:4">
      <c r="C225" t="s">
        <v>543</v>
      </c>
    </row>
    <row r="226" spans="1:4">
      <c r="C226" t="s">
        <v>544</v>
      </c>
    </row>
    <row r="228" spans="1:4">
      <c r="C228" t="s">
        <v>545</v>
      </c>
      <c r="D228" t="s">
        <v>557</v>
      </c>
    </row>
    <row r="229" spans="1:4">
      <c r="B229" t="s">
        <v>555</v>
      </c>
      <c r="C229" t="s">
        <v>546</v>
      </c>
    </row>
    <row r="230" spans="1:4">
      <c r="B230" t="s">
        <v>554</v>
      </c>
      <c r="C230" t="s">
        <v>547</v>
      </c>
    </row>
    <row r="231" spans="1:4">
      <c r="B231" t="s">
        <v>554</v>
      </c>
      <c r="C231" t="s">
        <v>548</v>
      </c>
    </row>
    <row r="232" spans="1:4">
      <c r="B232" t="s">
        <v>556</v>
      </c>
      <c r="C232" t="s">
        <v>549</v>
      </c>
    </row>
    <row r="233" spans="1:4">
      <c r="B233" t="s">
        <v>556</v>
      </c>
      <c r="C233" t="s">
        <v>551</v>
      </c>
    </row>
    <row r="234" spans="1:4">
      <c r="B234" t="s">
        <v>555</v>
      </c>
      <c r="C234" t="s">
        <v>552</v>
      </c>
    </row>
    <row r="235" spans="1:4">
      <c r="B235" t="s">
        <v>555</v>
      </c>
      <c r="C235" t="s">
        <v>553</v>
      </c>
    </row>
    <row r="236" spans="1:4">
      <c r="B236" t="s">
        <v>556</v>
      </c>
      <c r="C236" t="s">
        <v>550</v>
      </c>
    </row>
    <row r="237" spans="1:4">
      <c r="B237" t="s">
        <v>555</v>
      </c>
      <c r="C237" t="s">
        <v>558</v>
      </c>
    </row>
    <row r="239" spans="1:4">
      <c r="A239" s="1">
        <v>46258</v>
      </c>
      <c r="C239" t="s">
        <v>530</v>
      </c>
    </row>
    <row r="240" spans="1:4">
      <c r="C240" t="s">
        <v>563</v>
      </c>
    </row>
    <row r="241" spans="3:3">
      <c r="C241" t="s">
        <v>564</v>
      </c>
    </row>
    <row r="243" spans="3:3">
      <c r="C243" t="s">
        <v>571</v>
      </c>
    </row>
    <row r="244" spans="3:3">
      <c r="C244" t="s">
        <v>572</v>
      </c>
    </row>
    <row r="245" spans="3:3">
      <c r="C245" t="s">
        <v>594</v>
      </c>
    </row>
    <row r="246" spans="3:3">
      <c r="C246" t="s">
        <v>595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18887-0FDF-44BB-AA49-E18A6D1E6450}">
  <dimension ref="A2:B25"/>
  <sheetViews>
    <sheetView tabSelected="1" topLeftCell="A10" workbookViewId="0">
      <selection activeCell="B26" sqref="B26"/>
    </sheetView>
  </sheetViews>
  <sheetFormatPr defaultRowHeight="18.75"/>
  <sheetData>
    <row r="2" spans="1:2">
      <c r="A2" t="s">
        <v>568</v>
      </c>
      <c r="B2" t="s">
        <v>565</v>
      </c>
    </row>
    <row r="3" spans="1:2">
      <c r="B3" t="s">
        <v>566</v>
      </c>
    </row>
    <row r="4" spans="1:2">
      <c r="B4" t="s">
        <v>567</v>
      </c>
    </row>
    <row r="5" spans="1:2">
      <c r="A5" t="s">
        <v>568</v>
      </c>
      <c r="B5" t="s">
        <v>569</v>
      </c>
    </row>
    <row r="6" spans="1:2">
      <c r="B6" t="s">
        <v>570</v>
      </c>
    </row>
    <row r="9" spans="1:2">
      <c r="A9" t="s">
        <v>597</v>
      </c>
      <c r="B9" t="s">
        <v>596</v>
      </c>
    </row>
    <row r="11" spans="1:2">
      <c r="B11" t="s">
        <v>598</v>
      </c>
    </row>
    <row r="13" spans="1:2">
      <c r="B13" t="s">
        <v>599</v>
      </c>
    </row>
    <row r="14" spans="1:2">
      <c r="B14" t="s">
        <v>600</v>
      </c>
    </row>
    <row r="15" spans="1:2">
      <c r="B15" t="s">
        <v>601</v>
      </c>
    </row>
    <row r="16" spans="1:2">
      <c r="B16" t="s">
        <v>602</v>
      </c>
    </row>
    <row r="18" spans="2:2">
      <c r="B18" t="s">
        <v>603</v>
      </c>
    </row>
    <row r="19" spans="2:2">
      <c r="B19" t="s">
        <v>604</v>
      </c>
    </row>
    <row r="20" spans="2:2">
      <c r="B20" t="s">
        <v>605</v>
      </c>
    </row>
    <row r="21" spans="2:2">
      <c r="B21" t="s">
        <v>606</v>
      </c>
    </row>
    <row r="22" spans="2:2">
      <c r="B22" t="s">
        <v>607</v>
      </c>
    </row>
    <row r="24" spans="2:2">
      <c r="B24" t="s">
        <v>608</v>
      </c>
    </row>
    <row r="25" spans="2:2">
      <c r="B25" t="s">
        <v>609</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8A907-596B-4B61-8CB6-45BC6EA11F46}">
  <dimension ref="B2:B22"/>
  <sheetViews>
    <sheetView topLeftCell="A19" workbookViewId="0">
      <selection activeCell="J7" sqref="J7"/>
    </sheetView>
  </sheetViews>
  <sheetFormatPr defaultRowHeight="18.75"/>
  <sheetData>
    <row r="2" spans="2:2">
      <c r="B2" s="55" t="s">
        <v>573</v>
      </c>
    </row>
    <row r="3" spans="2:2">
      <c r="B3" s="56" t="s">
        <v>574</v>
      </c>
    </row>
    <row r="4" spans="2:2">
      <c r="B4" s="56" t="s">
        <v>575</v>
      </c>
    </row>
    <row r="5" spans="2:2">
      <c r="B5" s="56" t="s">
        <v>576</v>
      </c>
    </row>
    <row r="6" spans="2:2">
      <c r="B6" s="56" t="s">
        <v>577</v>
      </c>
    </row>
    <row r="7" spans="2:2">
      <c r="B7" s="56" t="s">
        <v>578</v>
      </c>
    </row>
    <row r="8" spans="2:2">
      <c r="B8" s="56" t="s">
        <v>579</v>
      </c>
    </row>
    <row r="9" spans="2:2">
      <c r="B9" s="56" t="s">
        <v>580</v>
      </c>
    </row>
    <row r="10" spans="2:2">
      <c r="B10" s="56" t="s">
        <v>581</v>
      </c>
    </row>
    <row r="11" spans="2:2">
      <c r="B11" s="56" t="s">
        <v>582</v>
      </c>
    </row>
    <row r="12" spans="2:2">
      <c r="B12" s="56" t="s">
        <v>583</v>
      </c>
    </row>
    <row r="13" spans="2:2">
      <c r="B13" s="56" t="s">
        <v>584</v>
      </c>
    </row>
    <row r="14" spans="2:2">
      <c r="B14" s="56" t="s">
        <v>585</v>
      </c>
    </row>
    <row r="15" spans="2:2">
      <c r="B15" s="56" t="s">
        <v>586</v>
      </c>
    </row>
    <row r="16" spans="2:2">
      <c r="B16" s="56" t="s">
        <v>587</v>
      </c>
    </row>
    <row r="17" spans="2:2">
      <c r="B17" s="56" t="s">
        <v>588</v>
      </c>
    </row>
    <row r="18" spans="2:2">
      <c r="B18" s="56" t="s">
        <v>589</v>
      </c>
    </row>
    <row r="19" spans="2:2">
      <c r="B19" s="56" t="s">
        <v>590</v>
      </c>
    </row>
    <row r="20" spans="2:2">
      <c r="B20" s="56" t="s">
        <v>591</v>
      </c>
    </row>
    <row r="21" spans="2:2">
      <c r="B21" s="56" t="s">
        <v>592</v>
      </c>
    </row>
    <row r="22" spans="2:2">
      <c r="B22" s="56" t="s">
        <v>593</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B6BCA-2C55-4226-858C-6FF0248D7A91}">
  <dimension ref="B2:B5"/>
  <sheetViews>
    <sheetView workbookViewId="0">
      <selection activeCell="B6" sqref="B6"/>
    </sheetView>
  </sheetViews>
  <sheetFormatPr defaultRowHeight="18.75"/>
  <sheetData>
    <row r="2" spans="2:2">
      <c r="B2" t="s">
        <v>559</v>
      </c>
    </row>
    <row r="3" spans="2:2">
      <c r="B3" t="s">
        <v>560</v>
      </c>
    </row>
    <row r="4" spans="2:2">
      <c r="B4" t="s">
        <v>561</v>
      </c>
    </row>
    <row r="5" spans="2:2">
      <c r="B5" t="s">
        <v>562</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3.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概要</vt:lpstr>
      <vt:lpstr>作業工数見積もり</vt:lpstr>
      <vt:lpstr>カレンダー</vt:lpstr>
      <vt:lpstr>日記</vt:lpstr>
      <vt:lpstr>インターン中気になったこと</vt:lpstr>
      <vt:lpstr>フィードバック</vt:lpstr>
      <vt:lpstr>Sheet1</vt:lpstr>
      <vt:lpstr>メモ</vt:lpstr>
      <vt:lpstr>雑用</vt:lpstr>
      <vt:lpstr>仕様書①</vt:lpstr>
      <vt:lpstr>仕様書②</vt:lpstr>
      <vt:lpstr>クラス設計</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泰稀（夏季インターン2026）</cp:lastModifiedBy>
  <cp:revision/>
  <dcterms:created xsi:type="dcterms:W3CDTF">2015-06-05T18:19:34Z</dcterms:created>
  <dcterms:modified xsi:type="dcterms:W3CDTF">2026-08-24T09:01:59Z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