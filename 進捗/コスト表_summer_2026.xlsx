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D807706C-210F-4753-8659-893A2BE92786}" xr6:coauthVersionLast="47" xr6:coauthVersionMax="47" xr10:uidLastSave="{00000000-0000-0000-0000-000000000000}"/>
  <bookViews>
    <workbookView xWindow="3975" yWindow="2550" windowWidth="21135" windowHeight="15165" firstSheet="1" activeTab="3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①" sheetId="13" r:id="rId7"/>
    <sheet name="仕様書②" sheetId="15" r:id="rId8"/>
    <sheet name="クラス設計" sheetId="14" r:id="rId9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<sst xmlns="http://schemas.openxmlformats.org/spreadsheetml/2006/main" count="572" uniqueCount="276">
  <si>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</si>
  <si>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</si>
  <si>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</si>
  <si>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</si>
  <si>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</si>
  <si>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</si>
  <si>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</si>
  <si>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</si>
  <si>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</si>
  <si>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</si>
  <si>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</si>
  <si>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</si>
  <si>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</si>
  <si>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</si>
  <si>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</si>
  <si>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</si>
  <si>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</si>
  <si>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</si>
  <si>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</si>
  <si>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</si>
  <si>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</si>
  <si>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</si>
  <si>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</si>
  <si>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</si>
  <si>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</si>
  <si>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</si>
  <si>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</si>
  <si>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</si>
  <si>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</si>
  <si>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</si>
  <si>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</si>
  <si>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</si>
  <si>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</si>
  <si>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</si>
  <si>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</si>
  <si>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</si>
  <si>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</si>
  <si>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</si>
  <si>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</si>
  <si>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</si>
  <si>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</si>
  <si>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</si>
  <si>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</si>
  <si>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</si>
  <si>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</si>
  <si>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</si>
  <si>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</si>
  <si>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</si>
  <si>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</si>
  <si>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</si>
  <si>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</si>
  <si>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</si>
  <si>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</si>
  <si>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</si>
  <si>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</si>
  <si>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</si>
  <si>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</si>
  <si>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</si>
  <si>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</si>
  <si>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</si>
  <si>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</si>
  <si>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</si>
  <si>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</si>
  <si>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</si>
  <si>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</si>
  <si>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</si>
  <si>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</si>
  <si>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</si>
  <si>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</si>
  <si>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</si>
  <si>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</si>
  <si>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</si>
  <si>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</si>
  <si>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</si>
  <si>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</si>
  <si>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</si>
  <si>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</si>
  <si>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</si>
  <si>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</si>
  <si>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</si>
  <si>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</si>
  <si>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</si>
  <si>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</si>
  <si>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</si>
  <si>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</si>
  <si>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</si>
  <si>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</si>
  <si>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</si>
  <si>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</si>
  <si>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</si>
  <si>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</si>
  <si>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</si>
  <si>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</si>
  <si>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</si>
  <si>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</si>
  <si>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</si>
  <si>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</si>
  <si>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</si>
  <si>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</si>
  <si>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</si>
  <si>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</si>
  <si>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</si>
  <si>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</si>
  <si>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</si>
  <si>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</si>
  <si>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</si>
  <si>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</si>
  <si>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</si>
  <si>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</si>
  <si>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</si>
  <si>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</si>
  <si>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</si>
  <si>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</si>
  <si>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</si>
  <si>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</si>
  <si>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</si>
  <si>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</si>
  <si>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</si>
  <si>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</si>
  <si>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</si>
  <si>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</si>
  <si>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</si>
  <si>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</si>
  <si>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</si>
  <si>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</si>
  <si>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</si>
  <si>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</si>
  <si>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</si>
  <si>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</si>
  <si>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</si>
  <si>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</si>
  <si>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</si>
  <si>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</si>
  <si>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</si>
  <si>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</si>
  <si>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</si>
  <si>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</si>
  <si>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</si>
  <si>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</si>
  <si>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</si>
  <si>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</si>
  <si>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</si>
  <si>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</si>
  <si>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</si>
  <si>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</si>
  <si>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</si>
  <si>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</si>
  <si>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</si>
  <si>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</si>
  <si>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</si>
  <si>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</si>
  <si>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</si>
  <si>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</si>
  <si>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</si>
  <si>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</si>
  <si>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</si>
  <si>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</si>
  <si>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</si>
  <si>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</si>
  <si>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</si>
  <si>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</si>
  <si>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</si>
  <si>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</si>
  <si>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</si>
  <si>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</si>
  <si>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</si>
  <si>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</si>
  <si>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</si>
  <si>
    <t>攻撃仕様</t>
    <rPh sb="0" eb="2">
      <t>コウゲキ</t>
    </rPh>
    <rPh sb="2" eb="4">
      <t>シヨウ</t>
    </rPh>
    <phoneticPr fontId="1"/>
  </si>
  <si>
    <t>スキル技</t>
    <rPh sb="3" eb="4">
      <t>ワザ</t>
    </rPh>
    <phoneticPr fontId="1"/>
  </si>
  <si>
    <t>弱連携 2技</t>
    <rPh sb="0" eb="1">
      <t>ジャク</t>
    </rPh>
    <rPh sb="1" eb="3">
      <t>レンケイ</t>
    </rPh>
    <rPh sb="5" eb="6">
      <t>ワザ</t>
    </rPh>
    <phoneticPr fontId="1"/>
  </si>
  <si>
    <t>必殺技</t>
    <rPh sb="0" eb="3">
      <t>ヒッサツワザ</t>
    </rPh>
    <phoneticPr fontId="1"/>
  </si>
  <si>
    <t>強化状態</t>
    <rPh sb="0" eb="1">
      <t>キョウ</t>
    </rPh>
    <rPh sb="1" eb="2">
      <t>バ</t>
    </rPh>
    <rPh sb="2" eb="4">
      <t>ジョウタイ</t>
    </rPh>
    <phoneticPr fontId="1"/>
  </si>
  <si>
    <t>ため技で演出あり</t>
    <rPh sb="2" eb="3">
      <t>ワザ</t>
    </rPh>
    <rPh sb="4" eb="6">
      <t>エンシュツ</t>
    </rPh>
    <phoneticPr fontId="1"/>
  </si>
  <si>
    <t>連携技でするかは考え中</t>
    <rPh sb="0" eb="2">
      <t>レンケイ</t>
    </rPh>
    <rPh sb="2" eb="3">
      <t>ワザ</t>
    </rPh>
    <rPh sb="8" eb="9">
      <t>カンガ</t>
    </rPh>
    <rPh sb="10" eb="11">
      <t>チュウ</t>
    </rPh>
    <phoneticPr fontId="1"/>
  </si>
  <si>
    <t>溜めモードはするか悩み</t>
    <rPh sb="0" eb="1">
      <t>タ</t>
    </rPh>
    <rPh sb="9" eb="10">
      <t>ナヤ</t>
    </rPh>
    <phoneticPr fontId="1"/>
  </si>
  <si>
    <t>弱の横一閃</t>
    <rPh sb="0" eb="1">
      <t>ジャク</t>
    </rPh>
    <rPh sb="2" eb="3">
      <t>ヨコ</t>
    </rPh>
    <rPh sb="3" eb="5">
      <t>イッセン</t>
    </rPh>
    <phoneticPr fontId="1"/>
  </si>
  <si>
    <t>空中</t>
    <rPh sb="0" eb="2">
      <t>クウチュウ</t>
    </rPh>
    <phoneticPr fontId="1"/>
  </si>
  <si>
    <t>X,X,X,Y</t>
    <phoneticPr fontId="1"/>
  </si>
  <si>
    <t>X,X,Y</t>
    <phoneticPr fontId="1"/>
  </si>
  <si>
    <t>X,Y</t>
    <phoneticPr fontId="1"/>
  </si>
  <si>
    <t>Y</t>
    <phoneticPr fontId="1"/>
  </si>
  <si>
    <t>空中で敵がいなかったら敵の方向に追従する</t>
    <rPh sb="0" eb="2">
      <t>クウチュウ</t>
    </rPh>
    <rPh sb="3" eb="4">
      <t>テキ</t>
    </rPh>
    <rPh sb="11" eb="12">
      <t>テキ</t>
    </rPh>
    <rPh sb="13" eb="15">
      <t>ホウコウ</t>
    </rPh>
    <rPh sb="16" eb="18">
      <t>ツイジュウ</t>
    </rPh>
    <phoneticPr fontId="1"/>
  </si>
  <si>
    <t>TODO:NEXT</t>
    <phoneticPr fontId="1"/>
  </si>
  <si>
    <t>【血殺について】</t>
    <rPh sb="1" eb="2">
      <t>チ</t>
    </rPh>
    <rPh sb="2" eb="3">
      <t>サツ</t>
    </rPh>
    <phoneticPr fontId="1"/>
  </si>
  <si>
    <t>レンダリングを分けてシェーダーする</t>
    <rPh sb="7" eb="8">
      <t>ワ</t>
    </rPh>
    <phoneticPr fontId="1"/>
  </si>
  <si>
    <t>①背景</t>
    <rPh sb="1" eb="3">
      <t>ハイケイ</t>
    </rPh>
    <phoneticPr fontId="1"/>
  </si>
  <si>
    <t>②文字を描画</t>
    <rPh sb="0" eb="3">
      <t>2モジ</t>
    </rPh>
    <rPh sb="4" eb="6">
      <t>ビョウガ</t>
    </rPh>
    <phoneticPr fontId="1"/>
  </si>
  <si>
    <t>③キャラクターを表示</t>
    <rPh sb="8" eb="10">
      <t>ヒョウジ</t>
    </rPh>
    <phoneticPr fontId="1"/>
  </si>
  <si>
    <t>※エフェクトは白色に表示</t>
    <rPh sb="7" eb="9">
      <t>シロイロ</t>
    </rPh>
    <rPh sb="10" eb="12">
      <t>ヒョウジ</t>
    </rPh>
    <phoneticPr fontId="1"/>
  </si>
  <si>
    <t>dxLibをForEffeckseerにしないといけない</t>
    <phoneticPr fontId="1"/>
  </si>
  <si>
    <t>空中攻撃4段</t>
    <rPh sb="0" eb="2">
      <t>クウチュウ</t>
    </rPh>
    <rPh sb="2" eb="4">
      <t>コウゲキ</t>
    </rPh>
    <rPh sb="5" eb="6">
      <t>ダン</t>
    </rPh>
    <phoneticPr fontId="1"/>
  </si>
  <si>
    <t>X,X,X,X</t>
    <phoneticPr fontId="1"/>
  </si>
  <si>
    <t>いずなおとし</t>
    <phoneticPr fontId="1"/>
  </si>
  <si>
    <t>砲台</t>
    <rPh sb="0" eb="2">
      <t>ホウダイ</t>
    </rPh>
    <phoneticPr fontId="1"/>
  </si>
  <si>
    <t>空中で攻撃を行ったら、カメラが前に近づく</t>
    <rPh sb="0" eb="2">
      <t>クウチュウ</t>
    </rPh>
    <rPh sb="3" eb="5">
      <t>コウゲキ</t>
    </rPh>
    <rPh sb="6" eb="7">
      <t>オコナ</t>
    </rPh>
    <rPh sb="15" eb="16">
      <t>マエ</t>
    </rPh>
    <rPh sb="17" eb="18">
      <t>チカ</t>
    </rPh>
    <phoneticPr fontId="1"/>
  </si>
  <si>
    <t>攻撃を行ったら、カメラが斜め方向になる</t>
    <rPh sb="0" eb="2">
      <t>コウゲキ</t>
    </rPh>
    <rPh sb="3" eb="4">
      <t>イ</t>
    </rPh>
    <rPh sb="12" eb="13">
      <t>ナナ</t>
    </rPh>
    <rPh sb="14" eb="16">
      <t>ホウコウ</t>
    </rPh>
    <phoneticPr fontId="1"/>
  </si>
  <si>
    <t>基本的に弱攻撃からの強攻撃は空中攻撃を派生</t>
    <rPh sb="0" eb="3">
      <t>キホンテキ</t>
    </rPh>
    <rPh sb="4" eb="7">
      <t>ジャクコウゲキ</t>
    </rPh>
    <rPh sb="10" eb="11">
      <t>キョウ</t>
    </rPh>
    <rPh sb="11" eb="13">
      <t>コウゲキ</t>
    </rPh>
    <rPh sb="14" eb="16">
      <t>クウチュウ</t>
    </rPh>
    <rPh sb="16" eb="18">
      <t>コウゲキ</t>
    </rPh>
    <rPh sb="19" eb="21">
      <t>ハセイ</t>
    </rPh>
    <phoneticPr fontId="1"/>
  </si>
  <si>
    <t>2段目、3段目、4段目時切り上げ</t>
    <rPh sb="1" eb="3">
      <t>ダンメ</t>
    </rPh>
    <rPh sb="5" eb="7">
      <t>ダンメ</t>
    </rPh>
    <rPh sb="9" eb="11">
      <t>ダンメ</t>
    </rPh>
    <rPh sb="11" eb="12">
      <t>ジ</t>
    </rPh>
    <rPh sb="12" eb="13">
      <t>キ</t>
    </rPh>
    <rPh sb="14" eb="15">
      <t>ア</t>
    </rPh>
    <phoneticPr fontId="1"/>
  </si>
  <si>
    <t>カメラを攻撃切り上げ時に空中にカメラが行くようにする</t>
    <rPh sb="4" eb="6">
      <t>コウゲキ</t>
    </rPh>
    <rPh sb="6" eb="7">
      <t>キ</t>
    </rPh>
    <rPh sb="8" eb="9">
      <t>ア</t>
    </rPh>
    <rPh sb="10" eb="11">
      <t>ジ</t>
    </rPh>
    <rPh sb="12" eb="14">
      <t>クウチュウ</t>
    </rPh>
    <rPh sb="19" eb="20">
      <t>イ</t>
    </rPh>
    <phoneticPr fontId="1"/>
  </si>
  <si>
    <t>CG要望</t>
    <rPh sb="2" eb="4">
      <t>ヨウボウ</t>
    </rPh>
    <phoneticPr fontId="1"/>
  </si>
  <si>
    <t>地上5段</t>
    <rPh sb="0" eb="2">
      <t>チジョウ</t>
    </rPh>
    <rPh sb="3" eb="4">
      <t>ダン</t>
    </rPh>
    <phoneticPr fontId="1"/>
  </si>
  <si>
    <t>スキル3段攻撃</t>
    <rPh sb="4" eb="5">
      <t>ダン</t>
    </rPh>
    <rPh sb="5" eb="7">
      <t>コウゲキ</t>
    </rPh>
    <phoneticPr fontId="1"/>
  </si>
  <si>
    <t>空中は触ってみる</t>
    <rPh sb="0" eb="2">
      <t>クウチュウ</t>
    </rPh>
    <rPh sb="3" eb="4">
      <t>サワ</t>
    </rPh>
    <phoneticPr fontId="1"/>
  </si>
  <si>
    <t>スキル強攻撃（一旦一つ）</t>
    <rPh sb="3" eb="6">
      <t>キョウコウゲキ</t>
    </rPh>
    <rPh sb="7" eb="10">
      <t>イッタンヒト</t>
    </rPh>
    <phoneticPr fontId="1"/>
  </si>
  <si>
    <t>敵の仕様書</t>
    <rPh sb="0" eb="1">
      <t>テキ</t>
    </rPh>
    <rPh sb="2" eb="5">
      <t>シヨウショ</t>
    </rPh>
    <phoneticPr fontId="1"/>
  </si>
  <si>
    <t>playerの仕様書</t>
    <rPh sb="7" eb="10">
      <t>シヨウショ</t>
    </rPh>
    <phoneticPr fontId="1"/>
  </si>
  <si>
    <t>忍者外電4　敵キャラ         攻撃種</t>
  </si>
  <si>
    <t>・龍神党尖兵(大砲)</t>
  </si>
  <si>
    <t>技1つ</t>
  </si>
  <si>
    <t>・龍神党尖兵(なぎなた)　　　薙刀分回し(4連攻撃)、牙突攻撃(重め)</t>
  </si>
  <si>
    <t>・龍神党尖兵(飛行)</t>
  </si>
  <si>
    <t>・・龍神党兵長(銃)</t>
  </si>
  <si>
    <t>・・龍神党兵長(手裏剣)</t>
  </si>
  <si>
    <t>・飛天狗(銭杖)　　　　　　鎌の２連攻撃、空を飛ぶ</t>
  </si>
  <si>
    <t>・飛天狗(扇)</t>
  </si>
  <si>
    <t>遠距離キャラ、中身は銃と一緒</t>
  </si>
  <si>
    <t>・大飛天狗</t>
  </si>
  <si>
    <t>近距離6連撃、2連撃、牙突など龍神党兵長に似た感じ</t>
  </si>
  <si>
    <t>・童子(鉈)　　　</t>
  </si>
  <si>
    <t>4パターンぐらい、全部近接、3コンボ(蹴り飛ばし)、6コンボなど</t>
  </si>
  <si>
    <t>・童子(刀)</t>
  </si>
  <si>
    <t>大剣を持っている、大ぶりな攻撃がおおい</t>
  </si>
  <si>
    <t>・龍神党尖兵(刀)　　　　　　2,4種ぐらい</t>
    <phoneticPr fontId="1"/>
  </si>
  <si>
    <t>龍神党尖兵(刀)　</t>
  </si>
  <si>
    <t>・雑魚敵</t>
    <rPh sb="1" eb="4">
      <t>ザコテキ</t>
    </rPh>
    <phoneticPr fontId="1"/>
  </si>
  <si>
    <t>・中ボス</t>
    <rPh sb="1" eb="2">
      <t>チュウ</t>
    </rPh>
    <phoneticPr fontId="1"/>
  </si>
  <si>
    <t>・ちょっと強い敵</t>
    <rPh sb="5" eb="6">
      <t>ツヨ</t>
    </rPh>
    <rPh sb="7" eb="8">
      <t>テキ</t>
    </rPh>
    <phoneticPr fontId="1"/>
  </si>
  <si>
    <t>童子</t>
    <rPh sb="0" eb="1">
      <t>ワラベ</t>
    </rPh>
    <rPh sb="1" eb="2">
      <t>コ</t>
    </rPh>
    <phoneticPr fontId="1"/>
  </si>
  <si>
    <t>・龍神党兵長(刀)　</t>
    <phoneticPr fontId="1"/>
  </si>
  <si>
    <t>　　遠距離技、近距離技2種(1combo,3comboの剣)</t>
    <phoneticPr fontId="1"/>
  </si>
  <si>
    <t>龍神党兵長(刀)　</t>
  </si>
  <si>
    <t>ボス</t>
    <phoneticPr fontId="1"/>
  </si>
  <si>
    <t>1-1のボス</t>
    <phoneticPr fontId="1"/>
  </si>
  <si>
    <t>・龍神党尖兵(銃)　　　　　　2種、近距離技一つと銃技1つ</t>
    <phoneticPr fontId="1"/>
  </si>
  <si>
    <t>龍神党尖兵(銃)　</t>
  </si>
  <si>
    <t>S</t>
    <phoneticPr fontId="1"/>
  </si>
  <si>
    <t>A</t>
    <phoneticPr fontId="1"/>
  </si>
  <si>
    <t>B</t>
    <phoneticPr fontId="1"/>
  </si>
  <si>
    <t>EnemyBase</t>
    <phoneticPr fontId="1"/>
  </si>
  <si>
    <t>警戒態勢</t>
    <rPh sb="0" eb="4">
      <t>ケイカイタイセイ</t>
    </rPh>
    <phoneticPr fontId="1"/>
  </si>
  <si>
    <t>Enemy１</t>
    <phoneticPr fontId="1"/>
  </si>
  <si>
    <t>距離とり</t>
    <rPh sb="0" eb="2">
      <t>キョリ</t>
    </rPh>
    <phoneticPr fontId="1"/>
  </si>
  <si>
    <t>Enemy2</t>
    <phoneticPr fontId="1"/>
  </si>
  <si>
    <t>遠距離攻撃</t>
    <rPh sb="0" eb="5">
      <t>エンキョリコウゲキ</t>
    </rPh>
    <phoneticPr fontId="1"/>
  </si>
  <si>
    <t>近距離攻撃</t>
    <rPh sb="0" eb="3">
      <t>キンキョリ</t>
    </rPh>
    <rPh sb="3" eb="5">
      <t>コウゲキ</t>
    </rPh>
    <phoneticPr fontId="1"/>
  </si>
  <si>
    <t>Enemy3</t>
    <phoneticPr fontId="1"/>
  </si>
  <si>
    <t>近距離攻撃</t>
    <rPh sb="0" eb="5">
      <t>キンキョリコウゲキ</t>
    </rPh>
    <phoneticPr fontId="1"/>
  </si>
  <si>
    <t>pに近づく</t>
    <rPh sb="2" eb="3">
      <t>チカ</t>
    </rPh>
    <phoneticPr fontId="1"/>
  </si>
  <si>
    <t>追いかける</t>
    <rPh sb="0" eb="1">
      <t>オ</t>
    </rPh>
    <phoneticPr fontId="1"/>
  </si>
  <si>
    <t>ばくすて</t>
    <phoneticPr fontId="1"/>
  </si>
  <si>
    <t>攻撃→ばくすて</t>
    <rPh sb="0" eb="2">
      <t>コウゲキ</t>
    </rPh>
    <phoneticPr fontId="1"/>
  </si>
  <si>
    <t>おいかける→攻撃</t>
    <rPh sb="6" eb="8">
      <t>コウゲキ</t>
    </rPh>
    <phoneticPr fontId="1"/>
  </si>
  <si>
    <t>警戒→攻撃or追いかける</t>
    <rPh sb="0" eb="2">
      <t>ケイカイ</t>
    </rPh>
    <rPh sb="3" eb="5">
      <t>コウゲキ</t>
    </rPh>
    <rPh sb="7" eb="8">
      <t>オ</t>
    </rPh>
    <phoneticPr fontId="1"/>
  </si>
  <si>
    <t>攻撃後、硬直あり</t>
    <rPh sb="0" eb="2">
      <t>コウゲキ</t>
    </rPh>
    <rPh sb="2" eb="3">
      <t>ゴ</t>
    </rPh>
    <rPh sb="4" eb="6">
      <t>コウチョク</t>
    </rPh>
    <phoneticPr fontId="1"/>
  </si>
  <si>
    <t>アイドル→</t>
    <phoneticPr fontId="1"/>
  </si>
  <si>
    <t>攻撃、警戒、バクステ、警戒のランダム</t>
    <rPh sb="0" eb="2">
      <t>コウゲキ</t>
    </rPh>
    <rPh sb="3" eb="5">
      <t>ケイカイ</t>
    </rPh>
    <rPh sb="11" eb="13">
      <t>ケイカイ</t>
    </rPh>
    <phoneticPr fontId="1"/>
  </si>
  <si>
    <t>攻撃のノックバックにXZ方面(正面)、Y軸(上方向)の二つを用意、それで切り上げ攻撃、切り下げ攻撃などを対応する</t>
    <rPh sb="0" eb="2">
      <t>コウゲキ</t>
    </rPh>
    <rPh sb="12" eb="14">
      <t>ホウメン</t>
    </rPh>
    <rPh sb="15" eb="17">
      <t>ショウメン</t>
    </rPh>
    <rPh sb="20" eb="21">
      <t>ジク</t>
    </rPh>
    <rPh sb="22" eb="25">
      <t>ウエホウコウ</t>
    </rPh>
    <rPh sb="27" eb="28">
      <t>フタ</t>
    </rPh>
    <rPh sb="30" eb="32">
      <t>ヨウイ</t>
    </rPh>
    <rPh sb="36" eb="37">
      <t>キ</t>
    </rPh>
    <rPh sb="38" eb="39">
      <t>ア</t>
    </rPh>
    <rPh sb="40" eb="42">
      <t>コウゲキ</t>
    </rPh>
    <rPh sb="43" eb="44">
      <t>キ</t>
    </rPh>
    <rPh sb="52" eb="54">
      <t>タイオウ</t>
    </rPh>
    <phoneticPr fontId="1"/>
  </si>
  <si>
    <t>攻撃のデータ</t>
    <rPh sb="0" eb="2">
      <t>コウゲキ</t>
    </rPh>
    <phoneticPr fontId="1"/>
  </si>
  <si>
    <t>攻撃力</t>
    <rPh sb="0" eb="3">
      <t>コウゲキリョク</t>
    </rPh>
    <phoneticPr fontId="1"/>
  </si>
  <si>
    <t>ノックバック</t>
    <phoneticPr fontId="1"/>
  </si>
  <si>
    <t>敵との当たり判定をする</t>
    <rPh sb="0" eb="1">
      <t>テキ</t>
    </rPh>
    <rPh sb="3" eb="4">
      <t>ア</t>
    </rPh>
    <rPh sb="6" eb="8">
      <t>ハンテイ</t>
    </rPh>
    <phoneticPr fontId="1"/>
  </si>
  <si>
    <t>スキル、必殺技の演出を先にする</t>
    <rPh sb="4" eb="7">
      <t>ヒッサツワザ</t>
    </rPh>
    <rPh sb="8" eb="10">
      <t>エンシュツ</t>
    </rPh>
    <rPh sb="11" eb="12">
      <t>サキ</t>
    </rPh>
    <phoneticPr fontId="1"/>
  </si>
  <si>
    <t>HItColのクラスを持たせて</t>
    <rPh sb="11" eb="12">
      <t>モ</t>
    </rPh>
    <phoneticPr fontId="1"/>
  </si>
  <si>
    <t>当たったらPlayerに検知させる</t>
    <rPh sb="0" eb="1">
      <t>ア</t>
    </rPh>
    <rPh sb="12" eb="14">
      <t>ケンチ</t>
    </rPh>
    <phoneticPr fontId="1"/>
  </si>
  <si>
    <t>吹っ飛ばし方の種類</t>
    <rPh sb="0" eb="1">
      <t>フ</t>
    </rPh>
    <rPh sb="2" eb="3">
      <t>ト</t>
    </rPh>
    <rPh sb="5" eb="6">
      <t>カタ</t>
    </rPh>
    <rPh sb="7" eb="9">
      <t>シュルイ</t>
    </rPh>
    <phoneticPr fontId="1"/>
  </si>
  <si>
    <t>それ用のクラスを作る</t>
    <rPh sb="2" eb="3">
      <t>ヨウ</t>
    </rPh>
    <rPh sb="8" eb="9">
      <t>ツク</t>
    </rPh>
    <phoneticPr fontId="1"/>
  </si>
  <si>
    <t>初期装備</t>
    <rPh sb="0" eb="4">
      <t>ショキソウビ</t>
    </rPh>
    <phoneticPr fontId="1"/>
  </si>
  <si>
    <t>攻撃クラスを作る</t>
    <rPh sb="0" eb="2">
      <t>コウゲキ</t>
    </rPh>
    <rPh sb="6" eb="7">
      <t>ツク</t>
    </rPh>
    <phoneticPr fontId="1"/>
  </si>
  <si>
    <t>派生図を作る</t>
    <rPh sb="0" eb="2">
      <t>ハセイ</t>
    </rPh>
    <rPh sb="2" eb="3">
      <t>ズ</t>
    </rPh>
    <rPh sb="4" eb="5">
      <t>ツク</t>
    </rPh>
    <phoneticPr fontId="1"/>
  </si>
  <si>
    <t>地上</t>
    <rPh sb="0" eb="2">
      <t>チジョウ</t>
    </rPh>
    <phoneticPr fontId="1"/>
  </si>
  <si>
    <t>敵から離れるため終了</t>
    <rPh sb="0" eb="1">
      <t>テキ</t>
    </rPh>
    <rPh sb="3" eb="4">
      <t>ハナ</t>
    </rPh>
    <rPh sb="8" eb="10">
      <t>シュウリョウ</t>
    </rPh>
    <phoneticPr fontId="1"/>
  </si>
  <si>
    <t>そばに敵がいない場合、近くの敵に向かって急降下していく</t>
    <rPh sb="3" eb="4">
      <t>テキ</t>
    </rPh>
    <rPh sb="8" eb="10">
      <t>バアイ</t>
    </rPh>
    <rPh sb="11" eb="12">
      <t>チカ</t>
    </rPh>
    <rPh sb="14" eb="15">
      <t>テキ</t>
    </rPh>
    <rPh sb="16" eb="17">
      <t>ム</t>
    </rPh>
    <rPh sb="20" eb="23">
      <t>キュウコウカ</t>
    </rPh>
    <phoneticPr fontId="1"/>
  </si>
  <si>
    <t>それもいなかったらまっすぐ</t>
    <phoneticPr fontId="1"/>
  </si>
  <si>
    <t>HItColとAttackColを作った。AttackColは途中、AttackColを作りつつ、終わったら、Player,Enemyに持たせて初期化させて使う。カプセル型Colliderの勉強や、Boxの当たり判定を使うことを考える</t>
    <rPh sb="17" eb="18">
      <t>ツク</t>
    </rPh>
    <rPh sb="31" eb="33">
      <t>トチュウ</t>
    </rPh>
    <rPh sb="44" eb="45">
      <t>ツク</t>
    </rPh>
    <rPh sb="49" eb="50">
      <t>オ</t>
    </rPh>
    <rPh sb="68" eb="69">
      <t>モ</t>
    </rPh>
    <rPh sb="72" eb="75">
      <t>ショキカ</t>
    </rPh>
    <rPh sb="78" eb="79">
      <t>ツカ</t>
    </rPh>
    <rPh sb="85" eb="86">
      <t>ガタ</t>
    </rPh>
    <rPh sb="95" eb="97">
      <t>ベンキョウ</t>
    </rPh>
    <rPh sb="103" eb="104">
      <t>ア</t>
    </rPh>
    <rPh sb="106" eb="108">
      <t>ハンテイ</t>
    </rPh>
    <rPh sb="109" eb="110">
      <t>ツカ</t>
    </rPh>
    <rPh sb="114" eb="115">
      <t>カンガ</t>
    </rPh>
    <phoneticPr fontId="1"/>
  </si>
  <si>
    <t>ColのUpdateをCollsionManagerでやりたいけど、責務が重すぎるかなって思って、それぞれでやったがいいのか、悩む</t>
    <rPh sb="34" eb="36">
      <t>セキム</t>
    </rPh>
    <rPh sb="37" eb="38">
      <t>オモ</t>
    </rPh>
    <rPh sb="45" eb="46">
      <t>オモ</t>
    </rPh>
    <rPh sb="63" eb="64">
      <t>ナヤ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</si>
</sst>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50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  <xf numFmtId="0" fontId="0" fillId="25" borderId="0" xfId="0" applyFill="1"/>
    <xf numFmtId="0" fontId="0" fillId="26" borderId="0" xfId="0" applyFill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152400</xdr:colOff>
      <xdr:row>26</xdr:row>
      <xdr:rowOff>209550</xdr:rowOff>
    </xdr:from>
    <xdr:to>
      <xdr:col>5</xdr:col>
      <xdr:colOff>104775</xdr:colOff>
      <xdr:row>29</xdr:row>
      <xdr:rowOff>38100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1069168-72E0-17F6-5F38-A981ABEB9152}"/>
            </a:ext>
          </a:extLst>
        </xdr:cNvPr>
        <xdr:cNvSpPr/>
      </xdr:nvSpPr>
      <xdr:spPr>
        <a:xfrm>
          <a:off x="762000" y="640080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4</xdr:col>
      <xdr:colOff>180975</xdr:colOff>
      <xdr:row>36</xdr:row>
      <xdr:rowOff>219075</xdr:rowOff>
    </xdr:from>
    <xdr:to>
      <xdr:col>7</xdr:col>
      <xdr:colOff>133350</xdr:colOff>
      <xdr:row>39</xdr:row>
      <xdr:rowOff>47625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43B6EF13-7DA7-18C1-630D-19824C6B48EF}"/>
            </a:ext>
          </a:extLst>
        </xdr:cNvPr>
        <xdr:cNvSpPr/>
      </xdr:nvSpPr>
      <xdr:spPr>
        <a:xfrm>
          <a:off x="1400175" y="8791575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切り上げ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4</xdr:col>
      <xdr:colOff>180975</xdr:colOff>
      <xdr:row>28</xdr:row>
      <xdr:rowOff>4763</xdr:rowOff>
    </xdr:from>
    <xdr:to>
      <xdr:col>5</xdr:col>
      <xdr:colOff>104775</xdr:colOff>
      <xdr:row>38</xdr:row>
      <xdr:rowOff>14288</xdr:rowOff>
    </xdr:to>
    <xdr:cxnSp macro="">
      <xdr:nvCxnSpPr>
        <xdr:cNvPr id="6" name="直線矢印コネクタ 5">
          <a:extLst>
            <a:ext uri="{FF2B5EF4-FFF2-40B4-BE49-F238E27FC236}">
              <a16:creationId xmlns:a16="http://schemas.microsoft.com/office/drawing/2014/main" id="{00638CB6-F325-8E7B-7ECC-5F5847C37312}"/>
            </a:ext>
          </a:extLst>
        </xdr:cNvPr>
        <xdr:cNvCxnSpPr>
          <a:stCxn id="2" idx="3"/>
          <a:endCxn id="3" idx="1"/>
        </xdr:cNvCxnSpPr>
      </xdr:nvCxnSpPr>
      <xdr:spPr>
        <a:xfrm flipH="1">
          <a:off x="1400175" y="6672263"/>
          <a:ext cx="228600" cy="2390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133350</xdr:colOff>
      <xdr:row>26</xdr:row>
      <xdr:rowOff>219075</xdr:rowOff>
    </xdr:from>
    <xdr:to>
      <xdr:col>10</xdr:col>
      <xdr:colOff>85725</xdr:colOff>
      <xdr:row>29</xdr:row>
      <xdr:rowOff>47625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12742478-CC5B-66BF-73F2-526883B71271}"/>
            </a:ext>
          </a:extLst>
        </xdr:cNvPr>
        <xdr:cNvSpPr/>
      </xdr:nvSpPr>
      <xdr:spPr>
        <a:xfrm>
          <a:off x="2266950" y="64103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地上２</a:t>
          </a:r>
        </a:p>
      </xdr:txBody>
    </xdr:sp>
    <xdr:clientData/>
  </xdr:twoCellAnchor>
  <xdr:twoCellAnchor>
    <xdr:from>
      <xdr:col>12</xdr:col>
      <xdr:colOff>47625</xdr:colOff>
      <xdr:row>26</xdr:row>
      <xdr:rowOff>219075</xdr:rowOff>
    </xdr:from>
    <xdr:to>
      <xdr:col>15</xdr:col>
      <xdr:colOff>0</xdr:colOff>
      <xdr:row>29</xdr:row>
      <xdr:rowOff>47625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F11E1F40-B7DE-95F5-3F47-6DB7B906B4C8}"/>
            </a:ext>
          </a:extLst>
        </xdr:cNvPr>
        <xdr:cNvSpPr/>
      </xdr:nvSpPr>
      <xdr:spPr>
        <a:xfrm>
          <a:off x="3705225" y="64103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</a:t>
          </a:r>
          <a:r>
            <a:rPr kumimoji="1" lang="en-US" altLang="ja-JP" sz="1100"/>
            <a:t>3</a:t>
          </a:r>
          <a:endParaRPr kumimoji="1" lang="ja-JP" altLang="en-US" sz="1100"/>
        </a:p>
      </xdr:txBody>
    </xdr:sp>
    <xdr:clientData/>
  </xdr:twoCellAnchor>
  <xdr:twoCellAnchor>
    <xdr:from>
      <xdr:col>17</xdr:col>
      <xdr:colOff>0</xdr:colOff>
      <xdr:row>26</xdr:row>
      <xdr:rowOff>228600</xdr:rowOff>
    </xdr:from>
    <xdr:to>
      <xdr:col>19</xdr:col>
      <xdr:colOff>257175</xdr:colOff>
      <xdr:row>29</xdr:row>
      <xdr:rowOff>57150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522792DE-2B6B-D8FA-7D6D-A1FC6F51D68F}"/>
            </a:ext>
          </a:extLst>
        </xdr:cNvPr>
        <xdr:cNvSpPr/>
      </xdr:nvSpPr>
      <xdr:spPr>
        <a:xfrm>
          <a:off x="5181600" y="641985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地上４</a:t>
          </a:r>
        </a:p>
      </xdr:txBody>
    </xdr:sp>
    <xdr:clientData/>
  </xdr:twoCellAnchor>
  <xdr:twoCellAnchor>
    <xdr:from>
      <xdr:col>21</xdr:col>
      <xdr:colOff>257175</xdr:colOff>
      <xdr:row>26</xdr:row>
      <xdr:rowOff>209550</xdr:rowOff>
    </xdr:from>
    <xdr:to>
      <xdr:col>24</xdr:col>
      <xdr:colOff>209550</xdr:colOff>
      <xdr:row>29</xdr:row>
      <xdr:rowOff>38100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24F04BEB-2651-A94C-838E-F35301DB3DFB}"/>
            </a:ext>
          </a:extLst>
        </xdr:cNvPr>
        <xdr:cNvSpPr/>
      </xdr:nvSpPr>
      <xdr:spPr>
        <a:xfrm>
          <a:off x="6657975" y="640080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</a:t>
          </a:r>
          <a:r>
            <a:rPr kumimoji="1" lang="en-US" altLang="ja-JP" sz="1100"/>
            <a:t>5</a:t>
          </a:r>
          <a:endParaRPr kumimoji="1" lang="ja-JP" altLang="en-US" sz="1100"/>
        </a:p>
      </xdr:txBody>
    </xdr:sp>
    <xdr:clientData/>
  </xdr:twoCellAnchor>
  <xdr:twoCellAnchor>
    <xdr:from>
      <xdr:col>5</xdr:col>
      <xdr:colOff>104775</xdr:colOff>
      <xdr:row>28</xdr:row>
      <xdr:rowOff>4763</xdr:rowOff>
    </xdr:from>
    <xdr:to>
      <xdr:col>7</xdr:col>
      <xdr:colOff>133350</xdr:colOff>
      <xdr:row>28</xdr:row>
      <xdr:rowOff>14288</xdr:rowOff>
    </xdr:to>
    <xdr:cxnSp macro="">
      <xdr:nvCxnSpPr>
        <xdr:cNvPr id="16" name="直線矢印コネクタ 15">
          <a:extLst>
            <a:ext uri="{FF2B5EF4-FFF2-40B4-BE49-F238E27FC236}">
              <a16:creationId xmlns:a16="http://schemas.microsoft.com/office/drawing/2014/main" id="{229FF8BB-DC7B-E01A-B37D-65E72D140BBB}"/>
            </a:ext>
          </a:extLst>
        </xdr:cNvPr>
        <xdr:cNvCxnSpPr>
          <a:stCxn id="2" idx="3"/>
          <a:endCxn id="10" idx="1"/>
        </xdr:cNvCxnSpPr>
      </xdr:nvCxnSpPr>
      <xdr:spPr>
        <a:xfrm>
          <a:off x="1628775" y="6672263"/>
          <a:ext cx="638175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76200</xdr:colOff>
      <xdr:row>28</xdr:row>
      <xdr:rowOff>14288</xdr:rowOff>
    </xdr:from>
    <xdr:to>
      <xdr:col>12</xdr:col>
      <xdr:colOff>38100</xdr:colOff>
      <xdr:row>28</xdr:row>
      <xdr:rowOff>14288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D4E61294-C862-FB9A-2433-733E2B00B6A2}"/>
            </a:ext>
          </a:extLst>
        </xdr:cNvPr>
        <xdr:cNvCxnSpPr/>
      </xdr:nvCxnSpPr>
      <xdr:spPr>
        <a:xfrm>
          <a:off x="3124200" y="6681788"/>
          <a:ext cx="5715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28</xdr:row>
      <xdr:rowOff>14288</xdr:rowOff>
    </xdr:from>
    <xdr:to>
      <xdr:col>17</xdr:col>
      <xdr:colOff>0</xdr:colOff>
      <xdr:row>28</xdr:row>
      <xdr:rowOff>23813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86412CA0-E1D6-E681-F222-B2F523FD68D2}"/>
            </a:ext>
          </a:extLst>
        </xdr:cNvPr>
        <xdr:cNvCxnSpPr>
          <a:stCxn id="11" idx="3"/>
          <a:endCxn id="12" idx="1"/>
        </xdr:cNvCxnSpPr>
      </xdr:nvCxnSpPr>
      <xdr:spPr>
        <a:xfrm>
          <a:off x="4572000" y="6681788"/>
          <a:ext cx="609600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257175</xdr:colOff>
      <xdr:row>28</xdr:row>
      <xdr:rowOff>4763</xdr:rowOff>
    </xdr:from>
    <xdr:to>
      <xdr:col>21</xdr:col>
      <xdr:colOff>257175</xdr:colOff>
      <xdr:row>28</xdr:row>
      <xdr:rowOff>23813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A6D135-07C8-9314-5B1D-EA46CF7F7EBA}"/>
            </a:ext>
          </a:extLst>
        </xdr:cNvPr>
        <xdr:cNvCxnSpPr>
          <a:stCxn id="12" idx="3"/>
          <a:endCxn id="13" idx="1"/>
        </xdr:cNvCxnSpPr>
      </xdr:nvCxnSpPr>
      <xdr:spPr>
        <a:xfrm flipV="1">
          <a:off x="6048375" y="6672263"/>
          <a:ext cx="609600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76200</xdr:colOff>
      <xdr:row>41</xdr:row>
      <xdr:rowOff>171450</xdr:rowOff>
    </xdr:from>
    <xdr:to>
      <xdr:col>13</xdr:col>
      <xdr:colOff>228600</xdr:colOff>
      <xdr:row>44</xdr:row>
      <xdr:rowOff>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1317DEEE-A3A1-199F-983B-899D3F3CE9B8}"/>
            </a:ext>
          </a:extLst>
        </xdr:cNvPr>
        <xdr:cNvSpPr/>
      </xdr:nvSpPr>
      <xdr:spPr>
        <a:xfrm>
          <a:off x="3124200" y="9934575"/>
          <a:ext cx="1066800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切り上げ２</a:t>
          </a:r>
        </a:p>
      </xdr:txBody>
    </xdr:sp>
    <xdr:clientData/>
  </xdr:twoCellAnchor>
  <xdr:twoCellAnchor>
    <xdr:from>
      <xdr:col>15</xdr:col>
      <xdr:colOff>28575</xdr:colOff>
      <xdr:row>46</xdr:row>
      <xdr:rowOff>66675</xdr:rowOff>
    </xdr:from>
    <xdr:to>
      <xdr:col>17</xdr:col>
      <xdr:colOff>285750</xdr:colOff>
      <xdr:row>48</xdr:row>
      <xdr:rowOff>133350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6A9FFD03-8C7F-7743-11D2-7D847FA17769}"/>
            </a:ext>
          </a:extLst>
        </xdr:cNvPr>
        <xdr:cNvSpPr/>
      </xdr:nvSpPr>
      <xdr:spPr>
        <a:xfrm>
          <a:off x="4600575" y="11020425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切り上げ</a:t>
          </a:r>
          <a:r>
            <a:rPr kumimoji="1" lang="en-US" altLang="ja-JP" sz="1100"/>
            <a:t>3</a:t>
          </a:r>
          <a:endParaRPr kumimoji="1" lang="ja-JP" altLang="en-US" sz="1100"/>
        </a:p>
      </xdr:txBody>
    </xdr:sp>
    <xdr:clientData/>
  </xdr:twoCellAnchor>
  <xdr:twoCellAnchor>
    <xdr:from>
      <xdr:col>21</xdr:col>
      <xdr:colOff>238125</xdr:colOff>
      <xdr:row>30</xdr:row>
      <xdr:rowOff>114300</xdr:rowOff>
    </xdr:from>
    <xdr:to>
      <xdr:col>24</xdr:col>
      <xdr:colOff>190500</xdr:colOff>
      <xdr:row>32</xdr:row>
      <xdr:rowOff>180975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50A5F8E-B9CD-3C0F-4501-053DB1CBB01C}"/>
            </a:ext>
          </a:extLst>
        </xdr:cNvPr>
        <xdr:cNvSpPr/>
      </xdr:nvSpPr>
      <xdr:spPr>
        <a:xfrm>
          <a:off x="6638925" y="7258050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強３</a:t>
          </a:r>
        </a:p>
      </xdr:txBody>
    </xdr:sp>
    <xdr:clientData/>
  </xdr:twoCellAnchor>
  <xdr:twoCellAnchor>
    <xdr:from>
      <xdr:col>10</xdr:col>
      <xdr:colOff>76200</xdr:colOff>
      <xdr:row>28</xdr:row>
      <xdr:rowOff>14288</xdr:rowOff>
    </xdr:from>
    <xdr:to>
      <xdr:col>10</xdr:col>
      <xdr:colOff>85725</xdr:colOff>
      <xdr:row>42</xdr:row>
      <xdr:rowOff>204788</xdr:rowOff>
    </xdr:to>
    <xdr:cxnSp macro="">
      <xdr:nvCxnSpPr>
        <xdr:cNvPr id="36" name="直線矢印コネクタ 35">
          <a:extLst>
            <a:ext uri="{FF2B5EF4-FFF2-40B4-BE49-F238E27FC236}">
              <a16:creationId xmlns:a16="http://schemas.microsoft.com/office/drawing/2014/main" id="{E95430B9-CDF7-920A-C218-5A2189E1E645}"/>
            </a:ext>
          </a:extLst>
        </xdr:cNvPr>
        <xdr:cNvCxnSpPr>
          <a:stCxn id="10" idx="3"/>
          <a:endCxn id="31" idx="1"/>
        </xdr:cNvCxnSpPr>
      </xdr:nvCxnSpPr>
      <xdr:spPr>
        <a:xfrm flipH="1">
          <a:off x="3124200" y="6681788"/>
          <a:ext cx="9525" cy="35242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28</xdr:row>
      <xdr:rowOff>14288</xdr:rowOff>
    </xdr:from>
    <xdr:to>
      <xdr:col>15</xdr:col>
      <xdr:colOff>28575</xdr:colOff>
      <xdr:row>47</xdr:row>
      <xdr:rowOff>100013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86F2F195-00EC-A427-8194-9F1C27530983}"/>
            </a:ext>
          </a:extLst>
        </xdr:cNvPr>
        <xdr:cNvCxnSpPr>
          <a:stCxn id="11" idx="3"/>
          <a:endCxn id="32" idx="1"/>
        </xdr:cNvCxnSpPr>
      </xdr:nvCxnSpPr>
      <xdr:spPr>
        <a:xfrm>
          <a:off x="4572000" y="6681788"/>
          <a:ext cx="28575" cy="461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257175</xdr:colOff>
      <xdr:row>28</xdr:row>
      <xdr:rowOff>23813</xdr:rowOff>
    </xdr:from>
    <xdr:to>
      <xdr:col>21</xdr:col>
      <xdr:colOff>238125</xdr:colOff>
      <xdr:row>31</xdr:row>
      <xdr:rowOff>147638</xdr:rowOff>
    </xdr:to>
    <xdr:cxnSp macro="">
      <xdr:nvCxnSpPr>
        <xdr:cNvPr id="42" name="直線矢印コネクタ 41">
          <a:extLst>
            <a:ext uri="{FF2B5EF4-FFF2-40B4-BE49-F238E27FC236}">
              <a16:creationId xmlns:a16="http://schemas.microsoft.com/office/drawing/2014/main" id="{20CDADD4-4A8F-B592-FC8D-9C1B6B16D2DF}"/>
            </a:ext>
          </a:extLst>
        </xdr:cNvPr>
        <xdr:cNvCxnSpPr>
          <a:stCxn id="12" idx="3"/>
          <a:endCxn id="33" idx="1"/>
        </xdr:cNvCxnSpPr>
      </xdr:nvCxnSpPr>
      <xdr:spPr>
        <a:xfrm>
          <a:off x="6048375" y="6691313"/>
          <a:ext cx="590550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266700</xdr:colOff>
      <xdr:row>36</xdr:row>
      <xdr:rowOff>219075</xdr:rowOff>
    </xdr:from>
    <xdr:to>
      <xdr:col>11</xdr:col>
      <xdr:colOff>219075</xdr:colOff>
      <xdr:row>39</xdr:row>
      <xdr:rowOff>47625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A6D349A2-857C-39F7-F5E1-39D37E2198B9}"/>
            </a:ext>
          </a:extLst>
        </xdr:cNvPr>
        <xdr:cNvSpPr/>
      </xdr:nvSpPr>
      <xdr:spPr>
        <a:xfrm>
          <a:off x="2705100" y="879157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12</xdr:col>
      <xdr:colOff>247650</xdr:colOff>
      <xdr:row>37</xdr:row>
      <xdr:rowOff>0</xdr:rowOff>
    </xdr:from>
    <xdr:to>
      <xdr:col>15</xdr:col>
      <xdr:colOff>200025</xdr:colOff>
      <xdr:row>39</xdr:row>
      <xdr:rowOff>66675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9B53BF35-9B67-9560-4B4A-A4A4A32429F9}"/>
            </a:ext>
          </a:extLst>
        </xdr:cNvPr>
        <xdr:cNvSpPr/>
      </xdr:nvSpPr>
      <xdr:spPr>
        <a:xfrm>
          <a:off x="3905250" y="88106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>
    <xdr:from>
      <xdr:col>16</xdr:col>
      <xdr:colOff>180975</xdr:colOff>
      <xdr:row>36</xdr:row>
      <xdr:rowOff>219075</xdr:rowOff>
    </xdr:from>
    <xdr:to>
      <xdr:col>19</xdr:col>
      <xdr:colOff>133350</xdr:colOff>
      <xdr:row>39</xdr:row>
      <xdr:rowOff>47625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59F1F595-6184-E83C-6E41-51145E43C18C}"/>
            </a:ext>
          </a:extLst>
        </xdr:cNvPr>
        <xdr:cNvSpPr/>
      </xdr:nvSpPr>
      <xdr:spPr>
        <a:xfrm>
          <a:off x="5057775" y="879157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3</a:t>
          </a:r>
          <a:endParaRPr kumimoji="1" lang="ja-JP" altLang="en-US" sz="1100"/>
        </a:p>
      </xdr:txBody>
    </xdr:sp>
    <xdr:clientData/>
  </xdr:twoCellAnchor>
  <xdr:twoCellAnchor>
    <xdr:from>
      <xdr:col>19</xdr:col>
      <xdr:colOff>95250</xdr:colOff>
      <xdr:row>46</xdr:row>
      <xdr:rowOff>76200</xdr:rowOff>
    </xdr:from>
    <xdr:to>
      <xdr:col>22</xdr:col>
      <xdr:colOff>47625</xdr:colOff>
      <xdr:row>48</xdr:row>
      <xdr:rowOff>142875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79ACAA13-B9E1-5D69-2D1E-16CCFB495E26}"/>
            </a:ext>
          </a:extLst>
        </xdr:cNvPr>
        <xdr:cNvSpPr/>
      </xdr:nvSpPr>
      <xdr:spPr>
        <a:xfrm>
          <a:off x="5886450" y="1102995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23</xdr:col>
      <xdr:colOff>238125</xdr:colOff>
      <xdr:row>46</xdr:row>
      <xdr:rowOff>76200</xdr:rowOff>
    </xdr:from>
    <xdr:to>
      <xdr:col>26</xdr:col>
      <xdr:colOff>190500</xdr:colOff>
      <xdr:row>48</xdr:row>
      <xdr:rowOff>142875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01712D99-8CB6-2E24-3854-97E6273317F8}"/>
            </a:ext>
          </a:extLst>
        </xdr:cNvPr>
        <xdr:cNvSpPr/>
      </xdr:nvSpPr>
      <xdr:spPr>
        <a:xfrm>
          <a:off x="7248525" y="1102995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4</a:t>
          </a:r>
          <a:endParaRPr kumimoji="1" lang="ja-JP" altLang="en-US" sz="1100"/>
        </a:p>
      </xdr:txBody>
    </xdr:sp>
    <xdr:clientData/>
  </xdr:twoCellAnchor>
  <xdr:twoCellAnchor>
    <xdr:from>
      <xdr:col>20</xdr:col>
      <xdr:colOff>285750</xdr:colOff>
      <xdr:row>36</xdr:row>
      <xdr:rowOff>200025</xdr:rowOff>
    </xdr:from>
    <xdr:to>
      <xdr:col>23</xdr:col>
      <xdr:colOff>238125</xdr:colOff>
      <xdr:row>39</xdr:row>
      <xdr:rowOff>28575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95B0F2F2-3E98-619D-8D17-8EFEF9405B97}"/>
            </a:ext>
          </a:extLst>
        </xdr:cNvPr>
        <xdr:cNvSpPr/>
      </xdr:nvSpPr>
      <xdr:spPr>
        <a:xfrm>
          <a:off x="6381750" y="87725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4</a:t>
          </a:r>
          <a:endParaRPr kumimoji="1" lang="ja-JP" altLang="en-US" sz="1100"/>
        </a:p>
      </xdr:txBody>
    </xdr:sp>
    <xdr:clientData/>
  </xdr:twoCellAnchor>
  <xdr:twoCellAnchor>
    <xdr:from>
      <xdr:col>7</xdr:col>
      <xdr:colOff>133350</xdr:colOff>
      <xdr:row>38</xdr:row>
      <xdr:rowOff>14288</xdr:rowOff>
    </xdr:from>
    <xdr:to>
      <xdr:col>8</xdr:col>
      <xdr:colOff>266700</xdr:colOff>
      <xdr:row>38</xdr:row>
      <xdr:rowOff>14288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9ABCBD60-97B9-6E7D-9CC9-28D2F2F7B438}"/>
            </a:ext>
          </a:extLst>
        </xdr:cNvPr>
        <xdr:cNvCxnSpPr>
          <a:stCxn id="3" idx="3"/>
          <a:endCxn id="47" idx="1"/>
        </xdr:cNvCxnSpPr>
      </xdr:nvCxnSpPr>
      <xdr:spPr>
        <a:xfrm>
          <a:off x="2266950" y="9063038"/>
          <a:ext cx="4381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38</xdr:row>
      <xdr:rowOff>14288</xdr:rowOff>
    </xdr:from>
    <xdr:to>
      <xdr:col>12</xdr:col>
      <xdr:colOff>247650</xdr:colOff>
      <xdr:row>38</xdr:row>
      <xdr:rowOff>33338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D9380E42-0E4F-448D-D5D0-A4DEBAFF8835}"/>
            </a:ext>
          </a:extLst>
        </xdr:cNvPr>
        <xdr:cNvCxnSpPr>
          <a:stCxn id="47" idx="3"/>
          <a:endCxn id="51" idx="1"/>
        </xdr:cNvCxnSpPr>
      </xdr:nvCxnSpPr>
      <xdr:spPr>
        <a:xfrm>
          <a:off x="3571875" y="9063038"/>
          <a:ext cx="333375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200025</xdr:colOff>
      <xdr:row>38</xdr:row>
      <xdr:rowOff>14288</xdr:rowOff>
    </xdr:from>
    <xdr:to>
      <xdr:col>16</xdr:col>
      <xdr:colOff>180975</xdr:colOff>
      <xdr:row>38</xdr:row>
      <xdr:rowOff>33338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B1C72B8D-91DF-C62E-2B63-2D13A38655A4}"/>
            </a:ext>
          </a:extLst>
        </xdr:cNvPr>
        <xdr:cNvCxnSpPr>
          <a:stCxn id="51" idx="3"/>
          <a:endCxn id="52" idx="1"/>
        </xdr:cNvCxnSpPr>
      </xdr:nvCxnSpPr>
      <xdr:spPr>
        <a:xfrm flipV="1">
          <a:off x="4772025" y="9063038"/>
          <a:ext cx="285750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133350</xdr:colOff>
      <xdr:row>37</xdr:row>
      <xdr:rowOff>233363</xdr:rowOff>
    </xdr:from>
    <xdr:to>
      <xdr:col>20</xdr:col>
      <xdr:colOff>285750</xdr:colOff>
      <xdr:row>38</xdr:row>
      <xdr:rowOff>14288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133170D3-2A24-B456-33E5-1EF74EEB2228}"/>
            </a:ext>
          </a:extLst>
        </xdr:cNvPr>
        <xdr:cNvCxnSpPr>
          <a:stCxn id="52" idx="3"/>
          <a:endCxn id="58" idx="1"/>
        </xdr:cNvCxnSpPr>
      </xdr:nvCxnSpPr>
      <xdr:spPr>
        <a:xfrm flipV="1">
          <a:off x="5924550" y="9043988"/>
          <a:ext cx="457200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285750</xdr:colOff>
      <xdr:row>47</xdr:row>
      <xdr:rowOff>100013</xdr:rowOff>
    </xdr:from>
    <xdr:to>
      <xdr:col>19</xdr:col>
      <xdr:colOff>95250</xdr:colOff>
      <xdr:row>47</xdr:row>
      <xdr:rowOff>109538</xdr:rowOff>
    </xdr:to>
    <xdr:cxnSp macro="">
      <xdr:nvCxnSpPr>
        <xdr:cNvPr id="78" name="直線矢印コネクタ 77">
          <a:extLst>
            <a:ext uri="{FF2B5EF4-FFF2-40B4-BE49-F238E27FC236}">
              <a16:creationId xmlns:a16="http://schemas.microsoft.com/office/drawing/2014/main" id="{4F5D9089-DC87-F94C-4AD2-7C49D3DE0A33}"/>
            </a:ext>
          </a:extLst>
        </xdr:cNvPr>
        <xdr:cNvCxnSpPr>
          <a:stCxn id="32" idx="3"/>
          <a:endCxn id="53" idx="1"/>
        </xdr:cNvCxnSpPr>
      </xdr:nvCxnSpPr>
      <xdr:spPr>
        <a:xfrm>
          <a:off x="5467350" y="11291888"/>
          <a:ext cx="419100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47625</xdr:colOff>
      <xdr:row>47</xdr:row>
      <xdr:rowOff>109538</xdr:rowOff>
    </xdr:from>
    <xdr:to>
      <xdr:col>23</xdr:col>
      <xdr:colOff>238125</xdr:colOff>
      <xdr:row>47</xdr:row>
      <xdr:rowOff>109538</xdr:rowOff>
    </xdr:to>
    <xdr:cxnSp macro="">
      <xdr:nvCxnSpPr>
        <xdr:cNvPr id="81" name="直線矢印コネクタ 80">
          <a:extLst>
            <a:ext uri="{FF2B5EF4-FFF2-40B4-BE49-F238E27FC236}">
              <a16:creationId xmlns:a16="http://schemas.microsoft.com/office/drawing/2014/main" id="{A2AE6844-E79D-C61E-C32D-B1585B3361FB}"/>
            </a:ext>
          </a:extLst>
        </xdr:cNvPr>
        <xdr:cNvCxnSpPr>
          <a:stCxn id="53" idx="3"/>
          <a:endCxn id="55" idx="1"/>
        </xdr:cNvCxnSpPr>
      </xdr:nvCxnSpPr>
      <xdr:spPr>
        <a:xfrm>
          <a:off x="6753225" y="11301413"/>
          <a:ext cx="4953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123825</xdr:colOff>
      <xdr:row>30</xdr:row>
      <xdr:rowOff>171450</xdr:rowOff>
    </xdr:from>
    <xdr:to>
      <xdr:col>5</xdr:col>
      <xdr:colOff>76200</xdr:colOff>
      <xdr:row>33</xdr:row>
      <xdr:rowOff>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F47593BE-2808-51D9-5F5A-A42BFBA65B8E}"/>
            </a:ext>
          </a:extLst>
        </xdr:cNvPr>
        <xdr:cNvSpPr/>
      </xdr:nvSpPr>
      <xdr:spPr>
        <a:xfrm>
          <a:off x="733425" y="7315200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強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0</xdr:col>
      <xdr:colOff>0</xdr:colOff>
      <xdr:row>30</xdr:row>
      <xdr:rowOff>228600</xdr:rowOff>
    </xdr:from>
    <xdr:to>
      <xdr:col>0</xdr:col>
      <xdr:colOff>0</xdr:colOff>
      <xdr:row>33</xdr:row>
      <xdr:rowOff>57150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9A8D576E-CA75-E84D-7423-98DEA41F6862}"/>
            </a:ext>
          </a:extLst>
        </xdr:cNvPr>
        <xdr:cNvSpPr/>
      </xdr:nvSpPr>
      <xdr:spPr>
        <a:xfrm>
          <a:off x="0" y="7372350"/>
          <a:ext cx="0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123825</xdr:colOff>
      <xdr:row>30</xdr:row>
      <xdr:rowOff>180975</xdr:rowOff>
    </xdr:from>
    <xdr:to>
      <xdr:col>10</xdr:col>
      <xdr:colOff>76200</xdr:colOff>
      <xdr:row>33</xdr:row>
      <xdr:rowOff>9525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9C384BA8-378F-1537-45D6-455C564888A5}"/>
            </a:ext>
          </a:extLst>
        </xdr:cNvPr>
        <xdr:cNvSpPr/>
      </xdr:nvSpPr>
      <xdr:spPr>
        <a:xfrm>
          <a:off x="2257425" y="7324725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強</a:t>
          </a:r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>
    <xdr:from>
      <xdr:col>5</xdr:col>
      <xdr:colOff>76200</xdr:colOff>
      <xdr:row>31</xdr:row>
      <xdr:rowOff>204788</xdr:rowOff>
    </xdr:from>
    <xdr:to>
      <xdr:col>7</xdr:col>
      <xdr:colOff>123825</xdr:colOff>
      <xdr:row>31</xdr:row>
      <xdr:rowOff>214313</xdr:rowOff>
    </xdr:to>
    <xdr:cxnSp macro="">
      <xdr:nvCxnSpPr>
        <xdr:cNvPr id="87" name="直線矢印コネクタ 86">
          <a:extLst>
            <a:ext uri="{FF2B5EF4-FFF2-40B4-BE49-F238E27FC236}">
              <a16:creationId xmlns:a16="http://schemas.microsoft.com/office/drawing/2014/main" id="{7CF3F4ED-EC41-2515-7DB8-28791575A9DB}"/>
            </a:ext>
          </a:extLst>
        </xdr:cNvPr>
        <xdr:cNvCxnSpPr>
          <a:stCxn id="83" idx="3"/>
          <a:endCxn id="85" idx="1"/>
        </xdr:cNvCxnSpPr>
      </xdr:nvCxnSpPr>
      <xdr:spPr>
        <a:xfrm>
          <a:off x="1600200" y="7586663"/>
          <a:ext cx="657225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285750</xdr:colOff>
      <xdr:row>41</xdr:row>
      <xdr:rowOff>9525</xdr:rowOff>
    </xdr:from>
    <xdr:to>
      <xdr:col>27</xdr:col>
      <xdr:colOff>152400</xdr:colOff>
      <xdr:row>43</xdr:row>
      <xdr:rowOff>76200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E3FABCD3-7056-5CA9-45CD-E34939AAF3F9}"/>
            </a:ext>
          </a:extLst>
        </xdr:cNvPr>
        <xdr:cNvSpPr/>
      </xdr:nvSpPr>
      <xdr:spPr>
        <a:xfrm>
          <a:off x="7296150" y="9772650"/>
          <a:ext cx="1085850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いずな落とし</a:t>
          </a:r>
        </a:p>
      </xdr:txBody>
    </xdr:sp>
    <xdr:clientData/>
  </xdr:twoCellAnchor>
  <xdr:twoCellAnchor>
    <xdr:from>
      <xdr:col>15</xdr:col>
      <xdr:colOff>200025</xdr:colOff>
      <xdr:row>38</xdr:row>
      <xdr:rowOff>33338</xdr:rowOff>
    </xdr:from>
    <xdr:to>
      <xdr:col>23</xdr:col>
      <xdr:colOff>285750</xdr:colOff>
      <xdr:row>42</xdr:row>
      <xdr:rowOff>42863</xdr:rowOff>
    </xdr:to>
    <xdr:cxnSp macro="">
      <xdr:nvCxnSpPr>
        <xdr:cNvPr id="91" name="直線矢印コネクタ 90">
          <a:extLst>
            <a:ext uri="{FF2B5EF4-FFF2-40B4-BE49-F238E27FC236}">
              <a16:creationId xmlns:a16="http://schemas.microsoft.com/office/drawing/2014/main" id="{DC6BF1CE-AE9D-C11F-FF1C-209F79DA1F71}"/>
            </a:ext>
          </a:extLst>
        </xdr:cNvPr>
        <xdr:cNvCxnSpPr>
          <a:stCxn id="51" idx="3"/>
          <a:endCxn id="89" idx="1"/>
        </xdr:cNvCxnSpPr>
      </xdr:nvCxnSpPr>
      <xdr:spPr>
        <a:xfrm>
          <a:off x="4772025" y="9082088"/>
          <a:ext cx="2524125" cy="962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2</xdr:row>
      <xdr:rowOff>57150</xdr:rowOff>
    </xdr:from>
    <xdr:to>
      <xdr:col>24</xdr:col>
      <xdr:colOff>238125</xdr:colOff>
      <xdr:row>12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976968F-90B1-9BAB-F8D7-355380CE457D}"/>
            </a:ext>
          </a:extLst>
        </xdr:cNvPr>
        <xdr:cNvSpPr/>
      </xdr:nvSpPr>
      <xdr:spPr>
        <a:xfrm>
          <a:off x="1504949" y="533400"/>
          <a:ext cx="6276976" cy="23526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AttackBase</a:t>
          </a:r>
        </a:p>
        <a:p>
          <a:pPr algn="l"/>
          <a:r>
            <a:rPr kumimoji="1" lang="ja-JP" altLang="en-US" sz="1100"/>
            <a:t>当たった敵のリスト</a:t>
          </a:r>
          <a:r>
            <a:rPr kumimoji="1" lang="en-US" altLang="ja-JP" sz="1100"/>
            <a:t>(Collidable)</a:t>
          </a:r>
        </a:p>
        <a:p>
          <a:pPr algn="l"/>
          <a:r>
            <a:rPr kumimoji="1" lang="ja-JP" altLang="en-US" sz="1100"/>
            <a:t>攻撃のノックバック距離、攻撃力←プレイヤーの</a:t>
          </a:r>
          <a:r>
            <a:rPr kumimoji="1" lang="en-US" altLang="ja-JP" sz="1100"/>
            <a:t>AttackData</a:t>
          </a:r>
          <a:r>
            <a:rPr kumimoji="1" lang="ja-JP" altLang="en-US" sz="1100"/>
            <a:t>から渡す、敵もどっかから渡す</a:t>
          </a:r>
          <a:endParaRPr kumimoji="1" lang="en-US" altLang="ja-JP" sz="1100"/>
        </a:p>
        <a:p>
          <a:pPr algn="l"/>
          <a:r>
            <a:rPr kumimoji="1" lang="ja-JP" altLang="en-US" sz="1100"/>
            <a:t>生存時間などは迷い</a:t>
          </a:r>
          <a:br>
            <a:rPr kumimoji="1" lang="en-US" altLang="ja-JP" sz="1100"/>
          </a:br>
          <a:r>
            <a:rPr kumimoji="1" lang="ja-JP" altLang="en-US" sz="1100"/>
            <a:t>そもそもこれ一個でよさそう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152400</xdr:colOff>
      <xdr:row>15</xdr:row>
      <xdr:rowOff>152400</xdr:rowOff>
    </xdr:from>
    <xdr:to>
      <xdr:col>9</xdr:col>
      <xdr:colOff>238125</xdr:colOff>
      <xdr:row>23</xdr:row>
      <xdr:rowOff>200025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55567FC-79AE-9F46-5366-81F2ADE8CAEF}"/>
            </a:ext>
          </a:extLst>
        </xdr:cNvPr>
        <xdr:cNvSpPr/>
      </xdr:nvSpPr>
      <xdr:spPr>
        <a:xfrm>
          <a:off x="1095375" y="372427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PlayerAttack</a:t>
          </a:r>
          <a:br>
            <a:rPr kumimoji="1" lang="en-US" altLang="ja-JP" sz="1100"/>
          </a:br>
          <a:br>
            <a:rPr kumimoji="1" lang="en-US" altLang="ja-JP" sz="1100"/>
          </a:br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195263</xdr:colOff>
      <xdr:row>12</xdr:row>
      <xdr:rowOff>28575</xdr:rowOff>
    </xdr:from>
    <xdr:to>
      <xdr:col>14</xdr:col>
      <xdr:colOff>242887</xdr:colOff>
      <xdr:row>15</xdr:row>
      <xdr:rowOff>152400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033F718-35BA-3752-3F6E-75AFBC861E49}"/>
            </a:ext>
          </a:extLst>
        </xdr:cNvPr>
        <xdr:cNvCxnSpPr>
          <a:stCxn id="2" idx="2"/>
          <a:endCxn id="3" idx="0"/>
        </xdr:cNvCxnSpPr>
      </xdr:nvCxnSpPr>
      <xdr:spPr>
        <a:xfrm flipH="1">
          <a:off x="2081213" y="2886075"/>
          <a:ext cx="2562224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190500</xdr:colOff>
      <xdr:row>15</xdr:row>
      <xdr:rowOff>133350</xdr:rowOff>
    </xdr:from>
    <xdr:to>
      <xdr:col>24</xdr:col>
      <xdr:colOff>276225</xdr:colOff>
      <xdr:row>23</xdr:row>
      <xdr:rowOff>180975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543105A-5D70-964E-0AD0-C2362A7E31F6}"/>
            </a:ext>
          </a:extLst>
        </xdr:cNvPr>
        <xdr:cNvSpPr/>
      </xdr:nvSpPr>
      <xdr:spPr>
        <a:xfrm>
          <a:off x="5848350" y="370522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EnemyAttack</a:t>
          </a:r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生存時間をきめるスキル技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242887</xdr:colOff>
      <xdr:row>12</xdr:row>
      <xdr:rowOff>28575</xdr:rowOff>
    </xdr:from>
    <xdr:to>
      <xdr:col>21</xdr:col>
      <xdr:colOff>233363</xdr:colOff>
      <xdr:row>15</xdr:row>
      <xdr:rowOff>133350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BA140AA9-2668-66D5-D88F-CBF290BF3D79}"/>
            </a:ext>
          </a:extLst>
        </xdr:cNvPr>
        <xdr:cNvCxnSpPr>
          <a:stCxn id="2" idx="2"/>
          <a:endCxn id="7" idx="0"/>
        </xdr:cNvCxnSpPr>
      </xdr:nvCxnSpPr>
      <xdr:spPr>
        <a:xfrm>
          <a:off x="4643437" y="2886075"/>
          <a:ext cx="2190751" cy="8191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272142</xdr:colOff>
      <xdr:row>13</xdr:row>
      <xdr:rowOff>149679</xdr:rowOff>
    </xdr:from>
    <xdr:to>
      <xdr:col>39</xdr:col>
      <xdr:colOff>13607</xdr:colOff>
      <xdr:row>19</xdr:row>
      <xdr:rowOff>95250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55C35913-0911-5F9E-CAC9-8CA6C39708E2}"/>
            </a:ext>
          </a:extLst>
        </xdr:cNvPr>
        <xdr:cNvSpPr/>
      </xdr:nvSpPr>
      <xdr:spPr>
        <a:xfrm>
          <a:off x="9974035" y="3333750"/>
          <a:ext cx="2245179" cy="1415143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/>
            <a:t>Character</a:t>
          </a:r>
          <a:endParaRPr kumimoji="1" lang="ja-JP" altLang="en-US" sz="1100"/>
        </a:p>
      </xdr:txBody>
    </xdr:sp>
    <xdr:clientData/>
  </xdr:twoCellAnchor>
  <xdr:twoCellAnchor>
    <xdr:from>
      <xdr:col>32</xdr:col>
      <xdr:colOff>97972</xdr:colOff>
      <xdr:row>25</xdr:row>
      <xdr:rowOff>125186</xdr:rowOff>
    </xdr:from>
    <xdr:to>
      <xdr:col>37</xdr:col>
      <xdr:colOff>68036</xdr:colOff>
      <xdr:row>28</xdr:row>
      <xdr:rowOff>204107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75F5DD45-549A-BE84-13E2-3113F25B4AFA}"/>
            </a:ext>
          </a:extLst>
        </xdr:cNvPr>
        <xdr:cNvSpPr/>
      </xdr:nvSpPr>
      <xdr:spPr>
        <a:xfrm>
          <a:off x="10112829" y="6248400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押し戻しの</a:t>
          </a:r>
          <a:br>
            <a:rPr kumimoji="1" lang="en-US" altLang="ja-JP" sz="1100"/>
          </a:br>
          <a:r>
            <a:rPr kumimoji="1" lang="ja-JP" altLang="en-US" sz="1100"/>
            <a:t>当たり判定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常にある</a:t>
          </a:r>
          <a:r>
            <a: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ON/OFF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231321</xdr:colOff>
      <xdr:row>25</xdr:row>
      <xdr:rowOff>108857</xdr:rowOff>
    </xdr:from>
    <xdr:to>
      <xdr:col>43</xdr:col>
      <xdr:colOff>201386</xdr:colOff>
      <xdr:row>28</xdr:row>
      <xdr:rowOff>187778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F1D8097C-4633-4B47-80D4-EE8820FA9CC8}"/>
            </a:ext>
          </a:extLst>
        </xdr:cNvPr>
        <xdr:cNvSpPr/>
      </xdr:nvSpPr>
      <xdr:spPr>
        <a:xfrm>
          <a:off x="12123964" y="6232071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やられ</a:t>
          </a:r>
          <a:br>
            <a:rPr kumimoji="1" lang="en-US" altLang="ja-JP" sz="1100"/>
          </a:br>
          <a:r>
            <a:rPr kumimoji="1" lang="ja-JP" altLang="en-US" sz="1100"/>
            <a:t>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en-US" sz="1100"/>
            <a:t>常にある</a:t>
          </a:r>
          <a:r>
            <a:rPr kumimoji="1" lang="en-US" altLang="ja-JP" sz="1100"/>
            <a:t>ON/OFF</a:t>
          </a:r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35</xdr:col>
      <xdr:colOff>142875</xdr:colOff>
      <xdr:row>19</xdr:row>
      <xdr:rowOff>95250</xdr:rowOff>
    </xdr:from>
    <xdr:to>
      <xdr:col>41</xdr:col>
      <xdr:colOff>59871</xdr:colOff>
      <xdr:row>25</xdr:row>
      <xdr:rowOff>108857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A03EB29-5809-4A44-8689-CC90B57AA4F7}"/>
            </a:ext>
          </a:extLst>
        </xdr:cNvPr>
        <xdr:cNvCxnSpPr>
          <a:stCxn id="4" idx="2"/>
          <a:endCxn id="9" idx="0"/>
        </xdr:cNvCxnSpPr>
      </xdr:nvCxnSpPr>
      <xdr:spPr>
        <a:xfrm>
          <a:off x="11096625" y="4748893"/>
          <a:ext cx="1794782" cy="14831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239486</xdr:colOff>
      <xdr:row>19</xdr:row>
      <xdr:rowOff>95250</xdr:rowOff>
    </xdr:from>
    <xdr:to>
      <xdr:col>35</xdr:col>
      <xdr:colOff>142875</xdr:colOff>
      <xdr:row>25</xdr:row>
      <xdr:rowOff>125186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D3F26736-F687-4F47-A3AF-255F380F201E}"/>
            </a:ext>
          </a:extLst>
        </xdr:cNvPr>
        <xdr:cNvCxnSpPr>
          <a:stCxn id="4" idx="2"/>
          <a:endCxn id="6" idx="0"/>
        </xdr:cNvCxnSpPr>
      </xdr:nvCxnSpPr>
      <xdr:spPr>
        <a:xfrm flipH="1">
          <a:off x="10880272" y="4748893"/>
          <a:ext cx="216353" cy="149950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142875</xdr:colOff>
      <xdr:row>19</xdr:row>
      <xdr:rowOff>95250</xdr:rowOff>
    </xdr:from>
    <xdr:to>
      <xdr:col>48</xdr:col>
      <xdr:colOff>46265</xdr:colOff>
      <xdr:row>25</xdr:row>
      <xdr:rowOff>81644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115D434C-23B9-4028-845D-04BACFD15C8A}"/>
            </a:ext>
          </a:extLst>
        </xdr:cNvPr>
        <xdr:cNvCxnSpPr>
          <a:stCxn id="4" idx="2"/>
          <a:endCxn id="21" idx="0"/>
        </xdr:cNvCxnSpPr>
      </xdr:nvCxnSpPr>
      <xdr:spPr>
        <a:xfrm>
          <a:off x="11096625" y="4748893"/>
          <a:ext cx="3971926" cy="14559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217715</xdr:colOff>
      <xdr:row>25</xdr:row>
      <xdr:rowOff>81644</xdr:rowOff>
    </xdr:from>
    <xdr:to>
      <xdr:col>50</xdr:col>
      <xdr:colOff>187780</xdr:colOff>
      <xdr:row>28</xdr:row>
      <xdr:rowOff>160565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2E6300D1-C695-421E-BF17-F42F0CB94819}"/>
            </a:ext>
          </a:extLst>
        </xdr:cNvPr>
        <xdr:cNvSpPr/>
      </xdr:nvSpPr>
      <xdr:spPr>
        <a:xfrm>
          <a:off x="14301108" y="6204858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攻撃</a:t>
          </a:r>
          <a:br>
            <a:rPr kumimoji="1" lang="en-US" altLang="ja-JP" sz="1100"/>
          </a:br>
          <a:r>
            <a:rPr kumimoji="1" lang="ja-JP" altLang="en-US" sz="1100"/>
            <a:t>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en-US" sz="1100"/>
            <a:t>毎回作る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421</v>
      </c>
      <c r="D5" s="3">
        <f ca="1" xml:space="preserve"> C4 / C5</f>
        <v>1.4251781472684086E-2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46191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-390</v>
      </c>
      <c r="E10" s="3">
        <f ca="1">($C$3 - $C$4) / D10</f>
        <v>-0.22051282051282051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-370</v>
      </c>
      <c r="E11" s="3">
        <f ca="1">($C$3 - $C$4) / D11</f>
        <v>-0.23243243243243245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-359</v>
      </c>
      <c r="E12" s="3">
        <f ca="1">($C$3 - $C$4) / D12</f>
        <v>-0.23955431754874651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136</v>
      </c>
    </row>
    <row r="15" spans="1:12" outlineLevel="1">
      <c r="A15" s="19"/>
      <c r="B15" s="10" t="s">
        <v>137</v>
      </c>
    </row>
    <row r="16" spans="1:12" outlineLevel="1">
      <c r="A16" s="19"/>
      <c r="B16" s="10" t="s">
        <v>138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165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166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167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132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135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133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134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8"/>
  <sheetViews>
    <sheetView tabSelected="1" workbookViewId="0">
      <selection activeCell="C9" sqref="C9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119</v>
      </c>
      <c r="B1" t="s">
        <v>120</v>
      </c>
      <c r="C1" t="s">
        <v>121</v>
      </c>
    </row>
    <row r="2" spans="1:3">
      <c r="A2" s="1">
        <v>46166</v>
      </c>
      <c r="B2" t="s">
        <v>122</v>
      </c>
      <c r="C2" t="s">
        <v>123</v>
      </c>
    </row>
    <row r="3" spans="1:3">
      <c r="A3" s="1">
        <v>46167</v>
      </c>
      <c r="B3" t="s">
        <v>124</v>
      </c>
      <c r="C3" t="s">
        <v>125</v>
      </c>
    </row>
    <row r="4" spans="1:3">
      <c r="A4" s="1"/>
      <c r="C4" t="s">
        <v>144</v>
      </c>
    </row>
    <row r="5" spans="1:3">
      <c r="C5" t="s">
        <v>145</v>
      </c>
    </row>
    <row r="7" spans="1:3">
      <c r="A7" s="1">
        <v>46190</v>
      </c>
      <c r="C7" t="s">
        <v>274</v>
      </c>
    </row>
    <row r="8" spans="1:3">
      <c r="A8" s="1">
        <v>46191</v>
      </c>
      <c r="C8" t="s">
        <v>275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20"/>
  <sheetViews>
    <sheetView workbookViewId="0">
      <selection activeCell="B19" sqref="B19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118</v>
      </c>
      <c r="C2" t="s">
        <v>127</v>
      </c>
      <c r="D2" t="s">
        <v>128</v>
      </c>
    </row>
    <row r="3" spans="2:4">
      <c r="D3" t="s">
        <v>129</v>
      </c>
    </row>
    <row r="4" spans="2:4">
      <c r="B4" t="s">
        <v>126</v>
      </c>
      <c r="D4" t="s">
        <v>130</v>
      </c>
    </row>
    <row r="7" spans="2:4">
      <c r="B7" t="s">
        <v>131</v>
      </c>
    </row>
    <row r="9" spans="2:4">
      <c r="B9" t="s">
        <v>139</v>
      </c>
    </row>
    <row r="10" spans="2:4">
      <c r="B10" t="s">
        <v>140</v>
      </c>
      <c r="D10" t="s">
        <v>184</v>
      </c>
    </row>
    <row r="11" spans="2:4">
      <c r="B11" t="s">
        <v>141</v>
      </c>
      <c r="D11" t="s">
        <v>185</v>
      </c>
    </row>
    <row r="12" spans="2:4">
      <c r="D12" t="s">
        <v>186</v>
      </c>
    </row>
    <row r="13" spans="2:4">
      <c r="B13" t="s">
        <v>142</v>
      </c>
      <c r="D13" t="s">
        <v>187</v>
      </c>
    </row>
    <row r="14" spans="2:4">
      <c r="B14" t="s">
        <v>143</v>
      </c>
      <c r="D14" t="s">
        <v>188</v>
      </c>
    </row>
    <row r="15" spans="2:4">
      <c r="D15" t="s">
        <v>189</v>
      </c>
    </row>
    <row r="17" spans="2:4">
      <c r="B17" t="s">
        <v>183</v>
      </c>
      <c r="D17" t="s">
        <v>199</v>
      </c>
    </row>
    <row r="18" spans="2:4">
      <c r="B18" t="s">
        <v>261</v>
      </c>
    </row>
    <row r="19" spans="2:4">
      <c r="B19" t="s">
        <v>262</v>
      </c>
    </row>
    <row r="20" spans="2:4">
      <c r="B20" t="s">
        <v>190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A1:G22"/>
  <sheetViews>
    <sheetView workbookViewId="0">
      <selection activeCell="F23" sqref="F23"/>
    </sheetView>
  </sheetViews>
  <sheetFormatPr defaultRowHeight="18.75"/>
  <sheetData>
    <row r="1" spans="1:7">
      <c r="A1" s="42"/>
      <c r="B1" s="43"/>
      <c r="C1" s="43"/>
      <c r="D1" s="43"/>
      <c r="E1" s="43"/>
      <c r="F1" s="43"/>
      <c r="G1" s="44"/>
    </row>
    <row r="2" spans="1:7">
      <c r="A2" s="45"/>
      <c r="G2" s="46"/>
    </row>
    <row r="3" spans="1:7">
      <c r="A3" s="45"/>
      <c r="C3" t="s">
        <v>239</v>
      </c>
      <c r="G3" s="46"/>
    </row>
    <row r="4" spans="1:7">
      <c r="A4" s="45"/>
      <c r="C4" t="s">
        <v>91</v>
      </c>
      <c r="G4" s="46"/>
    </row>
    <row r="5" spans="1:7">
      <c r="A5" s="45"/>
      <c r="C5" t="s">
        <v>240</v>
      </c>
      <c r="G5" s="46"/>
    </row>
    <row r="6" spans="1:7">
      <c r="A6" s="45"/>
      <c r="C6" t="s">
        <v>242</v>
      </c>
      <c r="G6" s="46"/>
    </row>
    <row r="7" spans="1:7">
      <c r="A7" s="45"/>
      <c r="C7" t="s">
        <v>248</v>
      </c>
      <c r="G7" s="46"/>
    </row>
    <row r="8" spans="1:7">
      <c r="A8" s="45"/>
      <c r="G8" s="46"/>
    </row>
    <row r="9" spans="1:7">
      <c r="A9" s="45"/>
      <c r="B9" t="s">
        <v>241</v>
      </c>
      <c r="D9" t="s">
        <v>243</v>
      </c>
      <c r="F9" t="s">
        <v>246</v>
      </c>
      <c r="G9" s="46"/>
    </row>
    <row r="10" spans="1:7">
      <c r="A10" s="45"/>
      <c r="B10" t="s">
        <v>91</v>
      </c>
      <c r="D10" t="s">
        <v>244</v>
      </c>
      <c r="F10" t="s">
        <v>247</v>
      </c>
      <c r="G10" s="46"/>
    </row>
    <row r="11" spans="1:7">
      <c r="A11" s="45"/>
      <c r="B11" t="s">
        <v>240</v>
      </c>
      <c r="D11" t="s">
        <v>245</v>
      </c>
      <c r="F11" t="s">
        <v>85</v>
      </c>
      <c r="G11" s="46"/>
    </row>
    <row r="12" spans="1:7">
      <c r="A12" s="45"/>
      <c r="B12" t="s">
        <v>242</v>
      </c>
      <c r="D12" t="s">
        <v>242</v>
      </c>
      <c r="F12" t="s">
        <v>242</v>
      </c>
      <c r="G12" s="46"/>
    </row>
    <row r="13" spans="1:7">
      <c r="A13" s="45"/>
      <c r="B13" t="s">
        <v>248</v>
      </c>
      <c r="D13" t="s">
        <v>240</v>
      </c>
      <c r="F13" t="s">
        <v>240</v>
      </c>
      <c r="G13" s="46"/>
    </row>
    <row r="14" spans="1:7" ht="19.5" thickBot="1">
      <c r="A14" s="47"/>
      <c r="B14" s="48"/>
      <c r="C14" s="48"/>
      <c r="D14" s="48" t="s">
        <v>248</v>
      </c>
      <c r="E14" s="48"/>
      <c r="F14" s="48" t="s">
        <v>248</v>
      </c>
      <c r="G14" s="49"/>
    </row>
    <row r="17" spans="2:6">
      <c r="B17" t="s">
        <v>249</v>
      </c>
      <c r="D17" t="s">
        <v>252</v>
      </c>
    </row>
    <row r="18" spans="2:6">
      <c r="B18" t="s">
        <v>102</v>
      </c>
      <c r="D18" t="s">
        <v>251</v>
      </c>
    </row>
    <row r="19" spans="2:6">
      <c r="B19" t="s">
        <v>91</v>
      </c>
      <c r="D19" t="s">
        <v>253</v>
      </c>
    </row>
    <row r="20" spans="2:6">
      <c r="B20" t="s">
        <v>250</v>
      </c>
      <c r="D20" t="s">
        <v>254</v>
      </c>
    </row>
    <row r="21" spans="2:6">
      <c r="B21" t="s">
        <v>146</v>
      </c>
    </row>
    <row r="22" spans="2:6">
      <c r="D22" t="s">
        <v>255</v>
      </c>
      <c r="F22" t="s">
        <v>256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AK43"/>
  <sheetViews>
    <sheetView topLeftCell="A13" workbookViewId="0">
      <selection activeCell="AK26" sqref="AK26"/>
    </sheetView>
  </sheetViews>
  <sheetFormatPr defaultColWidth="4" defaultRowHeight="18.75"/>
  <sheetData>
    <row r="1" spans="1:33">
      <c r="M1" t="s">
        <v>150</v>
      </c>
      <c r="T1" t="s">
        <v>164</v>
      </c>
      <c r="AE1" t="s">
        <v>177</v>
      </c>
    </row>
    <row r="2" spans="1:33">
      <c r="B2" s="41" t="s">
        <v>206</v>
      </c>
      <c r="C2" s="41"/>
      <c r="D2" s="41"/>
      <c r="E2" s="41"/>
      <c r="M2" t="s">
        <v>151</v>
      </c>
      <c r="AE2" t="s">
        <v>192</v>
      </c>
    </row>
    <row r="3" spans="1:33">
      <c r="B3" t="s">
        <v>146</v>
      </c>
      <c r="M3" t="s">
        <v>152</v>
      </c>
      <c r="R3" t="s">
        <v>198</v>
      </c>
      <c r="AE3" t="s">
        <v>178</v>
      </c>
      <c r="AG3" t="s">
        <v>193</v>
      </c>
    </row>
    <row r="4" spans="1:33">
      <c r="B4" t="s">
        <v>147</v>
      </c>
      <c r="M4" t="s">
        <v>191</v>
      </c>
      <c r="AE4" t="s">
        <v>179</v>
      </c>
    </row>
    <row r="5" spans="1:33">
      <c r="B5" t="s">
        <v>91</v>
      </c>
      <c r="M5" t="s">
        <v>153</v>
      </c>
      <c r="AE5" t="s">
        <v>180</v>
      </c>
    </row>
    <row r="6" spans="1:33">
      <c r="B6" t="s">
        <v>148</v>
      </c>
      <c r="M6" t="s">
        <v>154</v>
      </c>
      <c r="AE6" t="s">
        <v>181</v>
      </c>
    </row>
    <row r="7" spans="1:33">
      <c r="B7" t="s">
        <v>149</v>
      </c>
      <c r="M7" t="s">
        <v>155</v>
      </c>
      <c r="R7" t="s">
        <v>163</v>
      </c>
      <c r="AE7" t="s">
        <v>182</v>
      </c>
    </row>
    <row r="8" spans="1:33">
      <c r="B8" t="s">
        <v>97</v>
      </c>
      <c r="M8" t="s">
        <v>99</v>
      </c>
    </row>
    <row r="10" spans="1:33">
      <c r="AE10" t="s">
        <v>196</v>
      </c>
    </row>
    <row r="11" spans="1:33">
      <c r="M11" t="s">
        <v>169</v>
      </c>
    </row>
    <row r="12" spans="1:33">
      <c r="M12" t="s">
        <v>170</v>
      </c>
      <c r="AE12" t="s">
        <v>195</v>
      </c>
    </row>
    <row r="13" spans="1:33">
      <c r="B13" t="s">
        <v>49</v>
      </c>
      <c r="M13" t="s">
        <v>175</v>
      </c>
    </row>
    <row r="14" spans="1:33">
      <c r="A14" t="s">
        <v>157</v>
      </c>
      <c r="B14" t="s">
        <v>156</v>
      </c>
      <c r="D14" t="s">
        <v>158</v>
      </c>
    </row>
    <row r="15" spans="1:33">
      <c r="D15" t="s">
        <v>194</v>
      </c>
      <c r="M15" t="s">
        <v>171</v>
      </c>
    </row>
    <row r="16" spans="1:33">
      <c r="M16" t="s">
        <v>172</v>
      </c>
      <c r="AF16" s="40" t="s">
        <v>200</v>
      </c>
      <c r="AG16" s="40"/>
    </row>
    <row r="17" spans="1:37">
      <c r="B17" t="s">
        <v>159</v>
      </c>
      <c r="F17" t="s">
        <v>160</v>
      </c>
      <c r="M17" t="s">
        <v>176</v>
      </c>
      <c r="AF17" t="s">
        <v>201</v>
      </c>
      <c r="AK17" t="s">
        <v>203</v>
      </c>
    </row>
    <row r="18" spans="1:37">
      <c r="M18" t="s">
        <v>173</v>
      </c>
      <c r="AF18" t="s">
        <v>202</v>
      </c>
    </row>
    <row r="19" spans="1:37">
      <c r="B19" t="s">
        <v>162</v>
      </c>
      <c r="D19" t="s">
        <v>160</v>
      </c>
      <c r="M19" t="s">
        <v>174</v>
      </c>
      <c r="AF19" t="s">
        <v>204</v>
      </c>
    </row>
    <row r="20" spans="1:37">
      <c r="AF20" t="s">
        <v>193</v>
      </c>
    </row>
    <row r="21" spans="1:37">
      <c r="B21" t="s">
        <v>161</v>
      </c>
      <c r="D21" t="s">
        <v>160</v>
      </c>
    </row>
    <row r="22" spans="1:37">
      <c r="M22" t="s">
        <v>197</v>
      </c>
    </row>
    <row r="24" spans="1:37">
      <c r="D24" t="s">
        <v>269</v>
      </c>
    </row>
    <row r="28" spans="1:37">
      <c r="A28" t="s">
        <v>270</v>
      </c>
    </row>
    <row r="38" spans="1:15">
      <c r="A38" t="s">
        <v>177</v>
      </c>
    </row>
    <row r="41" spans="1:15">
      <c r="A41" t="s">
        <v>272</v>
      </c>
    </row>
    <row r="42" spans="1:15">
      <c r="A42" t="s">
        <v>273</v>
      </c>
    </row>
    <row r="43" spans="1:15">
      <c r="O43" t="s">
        <v>271</v>
      </c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96B1-EBF5-4BB2-93CD-A0906537FC8C}">
  <dimension ref="C2:X16"/>
  <sheetViews>
    <sheetView workbookViewId="0">
      <selection activeCell="S20" sqref="S20"/>
    </sheetView>
  </sheetViews>
  <sheetFormatPr defaultColWidth="3.875" defaultRowHeight="18.75"/>
  <cols>
    <col min="25" max="25" width="3.625" customWidth="1"/>
  </cols>
  <sheetData>
    <row r="2" spans="3:24">
      <c r="C2" s="41" t="s">
        <v>205</v>
      </c>
      <c r="D2" s="41"/>
      <c r="E2" s="41"/>
      <c r="Q2" t="s">
        <v>207</v>
      </c>
    </row>
    <row r="4" spans="3:24">
      <c r="C4" t="s">
        <v>225</v>
      </c>
      <c r="Q4" t="s">
        <v>223</v>
      </c>
    </row>
    <row r="5" spans="3:24">
      <c r="C5" t="s">
        <v>224</v>
      </c>
      <c r="I5" t="s">
        <v>236</v>
      </c>
      <c r="Q5" t="s">
        <v>234</v>
      </c>
    </row>
    <row r="6" spans="3:24">
      <c r="C6" t="s">
        <v>235</v>
      </c>
      <c r="I6" t="s">
        <v>237</v>
      </c>
      <c r="Q6" t="s">
        <v>208</v>
      </c>
      <c r="S6" t="s">
        <v>209</v>
      </c>
    </row>
    <row r="7" spans="3:24">
      <c r="Q7" t="s">
        <v>210</v>
      </c>
    </row>
    <row r="8" spans="3:24">
      <c r="C8" t="s">
        <v>227</v>
      </c>
      <c r="Q8" t="s">
        <v>211</v>
      </c>
    </row>
    <row r="9" spans="3:24">
      <c r="C9" t="s">
        <v>231</v>
      </c>
      <c r="I9" t="s">
        <v>237</v>
      </c>
      <c r="Q9" t="s">
        <v>229</v>
      </c>
      <c r="X9" t="s">
        <v>230</v>
      </c>
    </row>
    <row r="10" spans="3:24">
      <c r="C10" t="s">
        <v>226</v>
      </c>
      <c r="Q10" t="s">
        <v>212</v>
      </c>
    </row>
    <row r="11" spans="3:24">
      <c r="C11" t="s">
        <v>228</v>
      </c>
      <c r="I11" t="s">
        <v>236</v>
      </c>
      <c r="Q11" t="s">
        <v>213</v>
      </c>
    </row>
    <row r="12" spans="3:24">
      <c r="Q12" t="s">
        <v>214</v>
      </c>
    </row>
    <row r="13" spans="3:24">
      <c r="C13" t="s">
        <v>232</v>
      </c>
      <c r="Q13" t="s">
        <v>215</v>
      </c>
      <c r="S13" t="s">
        <v>216</v>
      </c>
    </row>
    <row r="14" spans="3:24">
      <c r="C14" t="s">
        <v>233</v>
      </c>
      <c r="I14" t="s">
        <v>238</v>
      </c>
      <c r="Q14" t="s">
        <v>217</v>
      </c>
      <c r="S14" t="s">
        <v>218</v>
      </c>
    </row>
    <row r="15" spans="3:24">
      <c r="Q15" t="s">
        <v>219</v>
      </c>
      <c r="R15" t="s">
        <v>220</v>
      </c>
    </row>
    <row r="16" spans="3:24">
      <c r="Q16" t="s">
        <v>221</v>
      </c>
      <c r="S16" t="s">
        <v>222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47F-A3A0-4027-965D-A484FB7F3C32}">
  <dimension ref="C1:AU33"/>
  <sheetViews>
    <sheetView zoomScale="70" zoomScaleNormal="70" workbookViewId="0">
      <selection activeCell="AS11" sqref="AS11"/>
    </sheetView>
  </sheetViews>
  <sheetFormatPr defaultColWidth="4.125" defaultRowHeight="18.75"/>
  <sheetData>
    <row r="1" spans="3:35" ht="19.5" thickBot="1"/>
    <row r="2" spans="3:35">
      <c r="C2" t="s">
        <v>168</v>
      </c>
      <c r="AE2" s="42" t="s">
        <v>258</v>
      </c>
      <c r="AF2" s="43"/>
      <c r="AG2" s="43"/>
      <c r="AH2" s="43"/>
      <c r="AI2" s="44"/>
    </row>
    <row r="3" spans="3:35">
      <c r="AE3" s="45" t="s">
        <v>259</v>
      </c>
      <c r="AI3" s="46"/>
    </row>
    <row r="4" spans="3:35">
      <c r="AE4" s="45" t="s">
        <v>260</v>
      </c>
      <c r="AI4" s="46"/>
    </row>
    <row r="5" spans="3:35" ht="19.5" thickBot="1">
      <c r="AE5" s="47" t="s">
        <v>265</v>
      </c>
      <c r="AF5" s="48"/>
      <c r="AG5" s="48"/>
      <c r="AH5" s="48"/>
      <c r="AI5" s="49"/>
    </row>
    <row r="9" spans="3:35">
      <c r="AE9" t="s">
        <v>257</v>
      </c>
    </row>
    <row r="31" spans="34:47">
      <c r="AN31" t="s">
        <v>263</v>
      </c>
      <c r="AU31" t="s">
        <v>268</v>
      </c>
    </row>
    <row r="32" spans="34:47">
      <c r="AH32" t="s">
        <v>267</v>
      </c>
      <c r="AN32" t="s">
        <v>264</v>
      </c>
    </row>
    <row r="33" spans="40:40">
      <c r="AN33" t="s">
        <v>266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概要</vt:lpstr>
      <vt:lpstr>作業工数見積もり</vt:lpstr>
      <vt:lpstr>カレンダー</vt:lpstr>
      <vt:lpstr>日記</vt:lpstr>
      <vt:lpstr>メモ</vt:lpstr>
      <vt:lpstr>雑用</vt:lpstr>
      <vt:lpstr>仕様書①</vt:lpstr>
      <vt:lpstr>仕様書②</vt:lpstr>
      <vt:lpstr>クラス設計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2026-06-17T15:03:08Z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