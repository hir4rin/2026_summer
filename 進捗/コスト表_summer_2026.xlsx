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EC5B4DA2-253E-4664-BFBB-BAAD26468420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概要" sheetId="5" r:id="rId1"/>
    <sheet name="作業工数見積もり" sheetId="1" r:id="rId2"/>
    <sheet name="日記" sheetId="12" r:id="rId3"/>
    <sheet name="メモ" sheetId="9" r:id="rId4"/>
    <sheet name="カレンダー" sheetId="6" r:id="rId5"/>
    <sheet name="雑用" sheetId="10" r:id="rId6"/>
    <sheet name="仕様書" sheetId="13" r:id="rId7"/>
  </sheets>
  <definedNames>
    <definedName name="_xlnm._FilterDatabase" localSheetId="1" hidden="1">作業工数見積もり!$B$2:$G$62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<sst xmlns="http://schemas.openxmlformats.org/spreadsheetml/2006/main" count="462" uniqueCount="185">
  <si>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</si>
  <si>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</si>
  <si>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</si>
  <si>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</si>
  <si>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</si>
  <si>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</si>
  <si>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</si>
  <si>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</si>
  <si>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</si>
  <si>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</si>
  <si>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</si>
  <si>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</si>
  <si>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</si>
  <si>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</si>
  <si>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</si>
  <si>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</si>
  <si>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</si>
  <si>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</si>
  <si>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</si>
  <si>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</si>
  <si>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</si>
  <si>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</si>
  <si>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</si>
  <si>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</si>
  <si>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</si>
  <si>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</si>
  <si>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</si>
  <si>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</si>
  <si>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</si>
  <si>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</si>
  <si>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</si>
  <si>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</si>
  <si>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</si>
  <si>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</si>
  <si>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</si>
  <si>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</si>
  <si>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</si>
  <si>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</si>
  <si>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</si>
  <si>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</si>
  <si>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</si>
  <si>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</si>
  <si>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</si>
  <si>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</si>
  <si>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</si>
  <si>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</si>
  <si>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</si>
  <si>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</si>
  <si>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</si>
  <si>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</si>
  <si>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</si>
  <si>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</si>
  <si>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</si>
  <si>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</si>
  <si>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</si>
  <si>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</si>
  <si>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</si>
  <si>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</si>
  <si>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</si>
  <si>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</si>
  <si>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</si>
  <si>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</si>
  <si>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</si>
  <si>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</si>
  <si>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</si>
  <si>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</si>
  <si>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</si>
  <si>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</si>
  <si>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</si>
  <si>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</si>
  <si>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</si>
  <si>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</si>
  <si>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</si>
  <si>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</si>
  <si>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</si>
  <si>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</si>
  <si>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</si>
  <si>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</si>
  <si>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</si>
  <si>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</si>
  <si>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</si>
  <si>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</si>
  <si>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</si>
  <si>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</si>
  <si>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</si>
  <si>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</si>
  <si>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</si>
  <si>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</si>
  <si>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</si>
  <si>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</si>
  <si>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</si>
  <si>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</si>
  <si>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</si>
  <si>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</si>
  <si>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</si>
  <si>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</si>
  <si>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</si>
  <si>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</si>
  <si>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</si>
  <si>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</si>
  <si>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</si>
  <si>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</si>
  <si>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</si>
  <si>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</si>
  <si>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</si>
  <si>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</si>
  <si>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</si>
  <si>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</si>
  <si>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</si>
  <si>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</si>
  <si>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</si>
  <si>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</si>
  <si>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</si>
  <si>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</si>
  <si>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</si>
  <si>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</si>
  <si>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</si>
  <si>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</si>
  <si>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</si>
  <si>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</si>
  <si>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</si>
  <si>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</si>
  <si>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</si>
  <si>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</si>
  <si>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</si>
  <si>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</si>
  <si>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</si>
  <si>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</si>
  <si>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</si>
  <si>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</si>
  <si>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</si>
  <si>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</si>
  <si>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</si>
  <si>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</si>
  <si>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</si>
  <si>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</si>
  <si>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</si>
  <si>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</si>
  <si>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</si>
  <si>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</si>
  <si>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</si>
  <si>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</si>
  <si>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</si>
  <si>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</si>
  <si>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</si>
  <si>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</si>
  <si>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</si>
  <si>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</si>
  <si>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</si>
  <si>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</si>
  <si>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</si>
  <si>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</si>
  <si>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</si>
  <si>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</si>
  <si>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</si>
  <si>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</si>
  <si>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</si>
  <si>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</si>
  <si>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</si>
  <si>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</si>
  <si>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</si>
  <si>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</si>
  <si>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</si>
  <si>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</si>
  <si>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</si>
  <si>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</si>
  <si>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</si>
  <si>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</si>
  <si>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</si>
  <si>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空中攻撃5段</t>
    <rPh sb="0" eb="2">
      <t>クウチュウ</t>
    </rPh>
    <rPh sb="2" eb="4">
      <t>コウゲキ</t>
    </rPh>
    <rPh sb="5" eb="6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</si>
  <si>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</si>
  <si>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</si>
  <si>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</si>
  <si>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</si>
  <si>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</si>
  <si>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</si>
  <si>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</si>
  <si>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放題</t>
    <rPh sb="0" eb="2">
      <t>ホウダイ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</si>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</sst>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SUM(作業工数見積もり!E3:E91)</f>
        <v>92</v>
      </c>
    </row>
    <row r="4" spans="2:5">
      <c r="B4" s="5" t="s">
        <v>6</v>
      </c>
      <c r="C4">
        <f>SUMIF(作業工数見積もり!G3:G44,"完了",作業工数見積もり!E3:E44)</f>
        <v>6</v>
      </c>
      <c r="D4" t="s">
        <v>7</v>
      </c>
    </row>
    <row r="5" spans="2:5">
      <c r="B5" s="6" t="s">
        <v>8</v>
      </c>
      <c r="C5" s="2">
        <f ca="1">NETWORKDAYS(C6,C7)</f>
        <v>410</v>
      </c>
      <c r="D5" s="3">
        <f ca="1" xml:space="preserve"> C4 / C5</f>
        <v>1.4634146341463415E-2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46176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-379</v>
      </c>
      <c r="E10" s="3">
        <f ca="1">($C$3 - $C$4) / D10</f>
        <v>-0.22691292875989447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-359</v>
      </c>
      <c r="E11" s="3">
        <f ca="1">($C$3 - $C$4) / D11</f>
        <v>-0.23955431754874651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-348</v>
      </c>
      <c r="E12" s="3">
        <f ca="1">($C$3 - $C$4) / D12</f>
        <v>-0.2471264367816092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7" zoomScale="70" zoomScaleNormal="70" workbookViewId="0">
      <selection activeCell="B28" sqref="B28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SUMIFS(E3:E61,G3:G61,"未着手")</f>
        <v>80</v>
      </c>
      <c r="L3" s="10">
        <f>SUM(F3:F61)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SUMIF(D3:D59,I4,E3:E58)</f>
        <v>85.5</v>
      </c>
      <c r="K4" s="10">
        <f>SUMIFS($E$3:$E$61,$G$3:$G$61,"未着手",$D$3:$D$61,I4)</f>
        <v>78.5</v>
      </c>
      <c r="L4" s="10">
        <f>SUMIFS(F3:F61,D3:D61,I4)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SUMIF(D4:D61,I5,E4:E59)</f>
        <v>1.5</v>
      </c>
      <c r="K5" s="10">
        <f>SUMIFS($E$3:$E$61,$G$3:$G$61,"未着手",$D$3:$D$61,I5)</f>
        <v>1.5</v>
      </c>
      <c r="L5" s="10">
        <f>SUMIFS(F4:F62,D4:D62,I5)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SUMIF(D5:D62,I6,E5:E61)</f>
        <v>0</v>
      </c>
      <c r="K6" s="10">
        <f>SUMIFS($E$3:$E$61,$G$3:$G$61,"未着手",$D$3:$D$61,I6)</f>
        <v>0</v>
      </c>
      <c r="L6" s="10">
        <f>SUMIFS(F5:F62,D5:D62,I6)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COUNTIF(G3:G59,"作業中")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93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147</v>
      </c>
    </row>
    <row r="15" spans="1:12" outlineLevel="1">
      <c r="A15" s="19"/>
      <c r="B15" s="10" t="s">
        <v>148</v>
      </c>
    </row>
    <row r="16" spans="1:12" outlineLevel="1">
      <c r="A16" s="19"/>
      <c r="B16" s="10" t="s">
        <v>149</v>
      </c>
    </row>
    <row r="17" spans="1:7">
      <c r="A17" s="19" t="s">
        <v>45</v>
      </c>
      <c r="B17" s="39" t="s">
        <v>94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95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89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>
      <c r="A24" s="19" t="s">
        <v>45</v>
      </c>
      <c r="B24" s="39" t="s">
        <v>96</v>
      </c>
      <c r="C24" s="16" t="s">
        <v>5</v>
      </c>
      <c r="D24" s="16" t="s">
        <v>18</v>
      </c>
      <c r="G24" s="16" t="s">
        <v>39</v>
      </c>
    </row>
    <row r="25" spans="1:7" outlineLevel="1">
      <c r="A25" s="19" t="s">
        <v>45</v>
      </c>
      <c r="B25" s="10" t="s">
        <v>90</v>
      </c>
      <c r="C25" s="16" t="s">
        <v>5</v>
      </c>
      <c r="D25" s="16" t="s">
        <v>18</v>
      </c>
      <c r="E25" s="16">
        <v>24</v>
      </c>
      <c r="G25" s="16" t="s">
        <v>39</v>
      </c>
    </row>
    <row r="26" spans="1:7">
      <c r="A26" s="19" t="s">
        <v>45</v>
      </c>
      <c r="B26" s="39" t="s">
        <v>98</v>
      </c>
      <c r="C26" s="16" t="s">
        <v>5</v>
      </c>
      <c r="D26" s="16" t="s">
        <v>18</v>
      </c>
      <c r="G26" s="16" t="s">
        <v>39</v>
      </c>
    </row>
    <row r="27" spans="1:7" outlineLevel="1">
      <c r="A27" s="19" t="s">
        <v>45</v>
      </c>
      <c r="B27" s="10" t="s">
        <v>91</v>
      </c>
      <c r="C27" s="16" t="s">
        <v>5</v>
      </c>
      <c r="D27" s="16" t="s">
        <v>18</v>
      </c>
      <c r="E27" s="16">
        <v>1</v>
      </c>
      <c r="F27" s="16">
        <v>1</v>
      </c>
      <c r="G27" s="16" t="s">
        <v>70</v>
      </c>
    </row>
    <row r="28" spans="1:7" outlineLevel="1">
      <c r="A28" s="19" t="s">
        <v>45</v>
      </c>
      <c r="B28" s="10" t="s">
        <v>104</v>
      </c>
      <c r="C28" s="16" t="s">
        <v>5</v>
      </c>
      <c r="D28" s="16" t="s">
        <v>18</v>
      </c>
      <c r="E28" s="16">
        <v>2</v>
      </c>
      <c r="G28" s="16" t="s">
        <v>39</v>
      </c>
    </row>
    <row r="29" spans="1:7" outlineLevel="1">
      <c r="A29" s="19" t="s">
        <v>45</v>
      </c>
      <c r="B29" s="10" t="s">
        <v>100</v>
      </c>
      <c r="C29" s="16" t="s">
        <v>5</v>
      </c>
      <c r="D29" s="16" t="s">
        <v>18</v>
      </c>
      <c r="E29" s="16">
        <v>4</v>
      </c>
      <c r="G29" s="16" t="s">
        <v>39</v>
      </c>
    </row>
    <row r="30" spans="1:7" outlineLevel="1">
      <c r="A30" s="19" t="s">
        <v>45</v>
      </c>
      <c r="B30" s="10" t="s">
        <v>102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>
      <c r="A31" s="19" t="s">
        <v>45</v>
      </c>
      <c r="B31" s="39" t="s">
        <v>97</v>
      </c>
      <c r="C31" s="16" t="s">
        <v>5</v>
      </c>
      <c r="D31" s="16" t="s">
        <v>18</v>
      </c>
      <c r="G31" s="16" t="s">
        <v>39</v>
      </c>
    </row>
    <row r="32" spans="1:7" outlineLevel="1">
      <c r="A32" s="19" t="s">
        <v>45</v>
      </c>
      <c r="B32" s="10" t="s">
        <v>99</v>
      </c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B33" s="10" t="s">
        <v>103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B34" s="10" t="s">
        <v>101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B35" s="39" t="s">
        <v>143</v>
      </c>
      <c r="C35" s="16" t="s">
        <v>5</v>
      </c>
      <c r="D35" s="16" t="s">
        <v>18</v>
      </c>
    </row>
    <row r="36" spans="1:7" outlineLevel="1">
      <c r="A36" s="19" t="s">
        <v>45</v>
      </c>
      <c r="B36" s="10" t="s">
        <v>146</v>
      </c>
      <c r="C36" s="16" t="s">
        <v>5</v>
      </c>
      <c r="D36" s="16" t="s">
        <v>18</v>
      </c>
    </row>
    <row r="37" spans="1:7" outlineLevel="1">
      <c r="A37" s="19" t="s">
        <v>45</v>
      </c>
      <c r="B37" s="39" t="s">
        <v>144</v>
      </c>
      <c r="C37" s="16" t="s">
        <v>5</v>
      </c>
      <c r="D37" s="16" t="s">
        <v>18</v>
      </c>
    </row>
    <row r="38" spans="1:7" outlineLevel="1">
      <c r="A38" s="19" t="s">
        <v>45</v>
      </c>
      <c r="B38" s="10" t="s">
        <v>145</v>
      </c>
      <c r="C38" s="16" t="s">
        <v>5</v>
      </c>
      <c r="D38" s="16" t="s">
        <v>18</v>
      </c>
    </row>
    <row r="39" spans="1:7">
      <c r="A39" s="19" t="s">
        <v>45</v>
      </c>
      <c r="B39" s="10" t="s">
        <v>86</v>
      </c>
      <c r="C39" s="16" t="s">
        <v>5</v>
      </c>
      <c r="D39" s="16" t="s">
        <v>18</v>
      </c>
      <c r="E39" s="16">
        <v>1</v>
      </c>
      <c r="F39" s="16">
        <v>4</v>
      </c>
      <c r="G39" s="16" t="s">
        <v>39</v>
      </c>
    </row>
    <row r="40" spans="1:7">
      <c r="A40" s="19" t="s">
        <v>45</v>
      </c>
      <c r="B40" s="10" t="s">
        <v>46</v>
      </c>
      <c r="C40" s="16" t="s">
        <v>5</v>
      </c>
      <c r="D40" s="16" t="s">
        <v>18</v>
      </c>
      <c r="E40" s="16">
        <v>2</v>
      </c>
      <c r="F40" s="16">
        <v>2</v>
      </c>
      <c r="G40" s="16" t="s">
        <v>39</v>
      </c>
    </row>
    <row r="41" spans="1:7">
      <c r="A41" s="19" t="s">
        <v>45</v>
      </c>
      <c r="B41" s="10" t="s">
        <v>47</v>
      </c>
      <c r="C41" s="16" t="s">
        <v>5</v>
      </c>
      <c r="D41" s="16" t="s">
        <v>18</v>
      </c>
      <c r="E41" s="16">
        <v>2</v>
      </c>
      <c r="F41" s="16">
        <v>3</v>
      </c>
      <c r="G41" s="16" t="s">
        <v>39</v>
      </c>
    </row>
    <row r="42" spans="1:7">
      <c r="A42" s="19" t="s">
        <v>45</v>
      </c>
      <c r="B42" s="10" t="s">
        <v>51</v>
      </c>
      <c r="C42" s="16" t="s">
        <v>5</v>
      </c>
      <c r="D42" s="16" t="s">
        <v>18</v>
      </c>
      <c r="E42" s="16">
        <v>8</v>
      </c>
      <c r="F42" s="16">
        <v>3</v>
      </c>
      <c r="G42" s="16" t="s">
        <v>39</v>
      </c>
    </row>
    <row r="43" spans="1:7">
      <c r="A43" s="20" t="s">
        <v>49</v>
      </c>
      <c r="B43" s="10" t="s">
        <v>122</v>
      </c>
      <c r="C43" s="16" t="s">
        <v>5</v>
      </c>
      <c r="D43" s="16" t="s">
        <v>18</v>
      </c>
      <c r="G43" s="16" t="s">
        <v>39</v>
      </c>
    </row>
    <row r="44" spans="1:7">
      <c r="A44" s="20" t="s">
        <v>49</v>
      </c>
      <c r="B44" s="39" t="s">
        <v>105</v>
      </c>
      <c r="C44" s="16" t="s">
        <v>5</v>
      </c>
      <c r="D44" s="16" t="s">
        <v>18</v>
      </c>
      <c r="E44" s="16">
        <v>0.5</v>
      </c>
      <c r="F44" s="16">
        <v>0.5</v>
      </c>
      <c r="G44" s="16" t="s">
        <v>39</v>
      </c>
    </row>
    <row r="45" spans="1:7">
      <c r="A45" s="20" t="s">
        <v>49</v>
      </c>
      <c r="B45" s="10" t="s">
        <v>43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39" t="s">
        <v>94</v>
      </c>
      <c r="C46" s="16" t="s">
        <v>5</v>
      </c>
      <c r="D46" s="16" t="s">
        <v>18</v>
      </c>
      <c r="G46" s="16" t="s">
        <v>39</v>
      </c>
    </row>
    <row r="47" spans="1:7">
      <c r="A47" s="20" t="s">
        <v>49</v>
      </c>
      <c r="B47" s="10" t="s">
        <v>92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39" t="s">
        <v>106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10" t="s">
        <v>107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39" t="s">
        <v>108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10" t="s">
        <v>55</v>
      </c>
      <c r="C51" s="16" t="s">
        <v>5</v>
      </c>
      <c r="D51" s="16" t="s">
        <v>18</v>
      </c>
      <c r="E51" s="16">
        <v>2</v>
      </c>
      <c r="G51" s="16" t="s">
        <v>39</v>
      </c>
    </row>
    <row r="52" spans="1:7">
      <c r="A52" s="20" t="s">
        <v>49</v>
      </c>
      <c r="B52" s="39" t="s">
        <v>109</v>
      </c>
      <c r="C52" s="16" t="s">
        <v>5</v>
      </c>
      <c r="D52" s="16" t="s">
        <v>18</v>
      </c>
      <c r="G52" s="16" t="s">
        <v>39</v>
      </c>
    </row>
    <row r="53" spans="1:7">
      <c r="A53" s="20" t="s">
        <v>49</v>
      </c>
      <c r="B53" s="10" t="s">
        <v>110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50</v>
      </c>
      <c r="C54" s="16" t="s">
        <v>5</v>
      </c>
      <c r="D54" s="16" t="s">
        <v>18</v>
      </c>
      <c r="E54" s="16">
        <v>1</v>
      </c>
      <c r="F54" s="16">
        <v>3</v>
      </c>
      <c r="G54" s="16" t="s">
        <v>39</v>
      </c>
    </row>
    <row r="55" spans="1:7">
      <c r="A55" s="21" t="s">
        <v>40</v>
      </c>
      <c r="B55" s="10" t="s">
        <v>111</v>
      </c>
      <c r="C55" s="16" t="s">
        <v>5</v>
      </c>
      <c r="D55" s="16" t="s">
        <v>18</v>
      </c>
      <c r="E55" s="16">
        <v>1</v>
      </c>
      <c r="F55" s="16">
        <v>1</v>
      </c>
      <c r="G55" s="16" t="s">
        <v>70</v>
      </c>
    </row>
    <row r="56" spans="1:7">
      <c r="A56" s="21" t="s">
        <v>40</v>
      </c>
      <c r="B56" s="10" t="s">
        <v>112</v>
      </c>
      <c r="C56" s="16" t="s">
        <v>5</v>
      </c>
      <c r="D56" s="16" t="s">
        <v>18</v>
      </c>
      <c r="E56" s="16">
        <v>12</v>
      </c>
      <c r="G56" s="16" t="s">
        <v>39</v>
      </c>
    </row>
    <row r="57" spans="1:7">
      <c r="A57" s="21" t="s">
        <v>40</v>
      </c>
      <c r="B57" s="10" t="s">
        <v>113</v>
      </c>
      <c r="C57" s="16" t="s">
        <v>5</v>
      </c>
      <c r="D57" s="16" t="s">
        <v>18</v>
      </c>
      <c r="E57" s="16">
        <v>6</v>
      </c>
      <c r="G57" s="16" t="s">
        <v>39</v>
      </c>
    </row>
    <row r="58" spans="1:7">
      <c r="A58" s="21" t="s">
        <v>40</v>
      </c>
      <c r="B58" s="10" t="s">
        <v>53</v>
      </c>
      <c r="C58" s="16" t="s">
        <v>5</v>
      </c>
      <c r="D58" s="16" t="s">
        <v>18</v>
      </c>
      <c r="E58" s="16">
        <v>3</v>
      </c>
      <c r="G58" s="16" t="s">
        <v>39</v>
      </c>
    </row>
    <row r="59" spans="1:7">
      <c r="A59" s="22" t="s">
        <v>41</v>
      </c>
      <c r="B59" s="10" t="s">
        <v>114</v>
      </c>
      <c r="C59" s="16" t="s">
        <v>5</v>
      </c>
      <c r="D59" s="16" t="s">
        <v>18</v>
      </c>
      <c r="G59" s="16" t="s">
        <v>39</v>
      </c>
    </row>
    <row r="60" spans="1:7">
      <c r="A60" s="22" t="s">
        <v>41</v>
      </c>
      <c r="B60" s="10" t="s">
        <v>115</v>
      </c>
      <c r="C60" s="16" t="s">
        <v>5</v>
      </c>
      <c r="D60" s="16" t="s">
        <v>18</v>
      </c>
      <c r="G60" s="16" t="s">
        <v>39</v>
      </c>
    </row>
    <row r="61" spans="1:7">
      <c r="A61" s="23" t="s">
        <v>42</v>
      </c>
      <c r="C61" s="16" t="s">
        <v>5</v>
      </c>
      <c r="D61" s="16" t="s">
        <v>18</v>
      </c>
      <c r="G61" s="16" t="s">
        <v>39</v>
      </c>
    </row>
    <row r="62" spans="1:7">
      <c r="A62" s="10" t="s">
        <v>61</v>
      </c>
      <c r="C62" s="16" t="s">
        <v>5</v>
      </c>
      <c r="D62" s="16" t="s">
        <v>18</v>
      </c>
      <c r="G62" s="16" t="s">
        <v>39</v>
      </c>
    </row>
    <row r="63" spans="1:7">
      <c r="A63" s="13" t="s">
        <v>38</v>
      </c>
      <c r="B63" s="10" t="s">
        <v>52</v>
      </c>
      <c r="C63" s="16" t="s">
        <v>5</v>
      </c>
      <c r="D63" s="16" t="s">
        <v>18</v>
      </c>
      <c r="E63" s="16">
        <v>3</v>
      </c>
      <c r="G63" s="16" t="s">
        <v>39</v>
      </c>
    </row>
    <row r="64" spans="1:7">
      <c r="A64" s="13" t="s">
        <v>38</v>
      </c>
      <c r="B64" s="10" t="s">
        <v>60</v>
      </c>
      <c r="C64" s="16" t="s">
        <v>5</v>
      </c>
      <c r="D64" s="16" t="s">
        <v>18</v>
      </c>
      <c r="E64" s="16">
        <v>2</v>
      </c>
      <c r="F64" s="16">
        <v>1</v>
      </c>
      <c r="G64" s="16" t="s">
        <v>39</v>
      </c>
    </row>
    <row r="65" spans="1:7">
      <c r="A65" s="13" t="s">
        <v>38</v>
      </c>
      <c r="B65" s="10" t="s">
        <v>116</v>
      </c>
      <c r="C65" s="16" t="s">
        <v>5</v>
      </c>
      <c r="D65" s="16" t="s">
        <v>18</v>
      </c>
      <c r="G65" s="16" t="s">
        <v>39</v>
      </c>
    </row>
    <row r="66" spans="1:7">
      <c r="A66" s="13" t="s">
        <v>38</v>
      </c>
      <c r="B66" s="10" t="s">
        <v>117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120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118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119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121</v>
      </c>
      <c r="C70" s="16" t="s">
        <v>5</v>
      </c>
      <c r="D70" s="16" t="s">
        <v>18</v>
      </c>
      <c r="G70" s="16" t="s">
        <v>39</v>
      </c>
    </row>
  </sheetData>
  <autoFilter ref="B2:G62" xr:uid="{00000000-0001-0000-0000-000000000000}">
    <sortState xmlns:xlrd2="http://schemas.microsoft.com/office/spreadsheetml/2017/richdata2" ref="B3:G58">
      <sortCondition ref="B2:B58"/>
    </sortState>
  </autoFilter>
  <phoneticPr fontId="1"/>
  <dataValidations count="3">
    <dataValidation type="list" allowBlank="1" showInputMessage="1" showErrorMessage="1" sqref="C3:C70" xr:uid="{AF10AFEC-2E3A-4CB7-ABD8-6255C47E78C2}">
      <formula1>"S,A,B,C"</formula1>
    </dataValidation>
    <dataValidation type="list" allowBlank="1" showInputMessage="1" showErrorMessage="1" sqref="D3:D70" xr:uid="{8982FD40-CA4D-4B92-93FE-B37B6B67ACD6}">
      <formula1>"プロト,アルファ,ベータ,マスタ"</formula1>
    </dataValidation>
    <dataValidation type="list" allowBlank="1" showInputMessage="1" showErrorMessage="1" sqref="G3:G70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130</v>
      </c>
      <c r="B1" t="s">
        <v>131</v>
      </c>
      <c r="C1" t="s">
        <v>132</v>
      </c>
    </row>
    <row r="2" spans="1:3">
      <c r="A2" s="1">
        <v>46166</v>
      </c>
      <c r="B2" t="s">
        <v>133</v>
      </c>
      <c r="C2" t="s">
        <v>134</v>
      </c>
    </row>
    <row r="3" spans="1:3">
      <c r="A3" s="1">
        <v>46167</v>
      </c>
      <c r="B3" t="s">
        <v>135</v>
      </c>
      <c r="C3" t="s">
        <v>136</v>
      </c>
    </row>
    <row r="4" spans="1:3">
      <c r="A4" s="1"/>
      <c r="C4" t="s">
        <v>155</v>
      </c>
    </row>
    <row r="5" spans="1:3">
      <c r="C5" t="s">
        <v>156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129</v>
      </c>
      <c r="C2" t="s">
        <v>138</v>
      </c>
      <c r="D2" t="s">
        <v>139</v>
      </c>
    </row>
    <row r="3" spans="2:4">
      <c r="D3" t="s">
        <v>140</v>
      </c>
    </row>
    <row r="4" spans="2:4">
      <c r="B4" t="s">
        <v>137</v>
      </c>
      <c r="D4" t="s">
        <v>141</v>
      </c>
    </row>
    <row r="7" spans="2:4">
      <c r="B7" t="s">
        <v>142</v>
      </c>
    </row>
    <row r="9" spans="2:4">
      <c r="B9" t="s">
        <v>150</v>
      </c>
    </row>
    <row r="10" spans="2:4">
      <c r="B10" t="s">
        <v>151</v>
      </c>
    </row>
    <row r="11" spans="2:4">
      <c r="B11" t="s">
        <v>152</v>
      </c>
    </row>
    <row r="13" spans="2:4">
      <c r="B13" t="s">
        <v>153</v>
      </c>
    </row>
    <row r="14" spans="2:4">
      <c r="B14" t="s">
        <v>154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123</v>
      </c>
    </row>
    <row r="3" spans="3:10">
      <c r="C3" t="s">
        <v>124</v>
      </c>
    </row>
    <row r="4" spans="3:10">
      <c r="C4" t="s">
        <v>128</v>
      </c>
    </row>
    <row r="5" spans="3:10">
      <c r="C5" t="s">
        <v>125</v>
      </c>
    </row>
    <row r="6" spans="3:10">
      <c r="C6" t="s">
        <v>126</v>
      </c>
    </row>
    <row r="7" spans="3:10">
      <c r="C7" t="s">
        <v>127</v>
      </c>
    </row>
    <row r="10" spans="3:10">
      <c r="C10" t="s">
        <v>157</v>
      </c>
      <c r="H10" t="s">
        <v>159</v>
      </c>
      <c r="J10" t="s">
        <v>160</v>
      </c>
    </row>
    <row r="11" spans="3:10">
      <c r="C11" t="s">
        <v>158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T21"/>
  <sheetViews>
    <sheetView tabSelected="1" workbookViewId="0">
      <selection activeCell="S11" sqref="S11"/>
    </sheetView>
  </sheetViews>
  <sheetFormatPr defaultColWidth="4" defaultRowHeight="18.75"/>
  <sheetData>
    <row r="1" spans="1:20">
      <c r="M1" t="s">
        <v>166</v>
      </c>
      <c r="T1" t="s">
        <v>184</v>
      </c>
    </row>
    <row r="2" spans="1:20">
      <c r="B2" t="s">
        <v>161</v>
      </c>
      <c r="M2" t="s">
        <v>167</v>
      </c>
    </row>
    <row r="3" spans="1:20">
      <c r="B3" t="s">
        <v>162</v>
      </c>
      <c r="M3" t="s">
        <v>168</v>
      </c>
      <c r="R3" t="s">
        <v>182</v>
      </c>
    </row>
    <row r="4" spans="1:20">
      <c r="B4" t="s">
        <v>163</v>
      </c>
      <c r="M4" t="s">
        <v>169</v>
      </c>
    </row>
    <row r="5" spans="1:20">
      <c r="B5" t="s">
        <v>92</v>
      </c>
      <c r="M5" t="s">
        <v>170</v>
      </c>
    </row>
    <row r="6" spans="1:20">
      <c r="B6" t="s">
        <v>164</v>
      </c>
      <c r="M6" t="s">
        <v>171</v>
      </c>
    </row>
    <row r="7" spans="1:20">
      <c r="B7" t="s">
        <v>165</v>
      </c>
      <c r="M7" t="s">
        <v>172</v>
      </c>
      <c r="R7" t="s">
        <v>183</v>
      </c>
    </row>
    <row r="8" spans="1:20">
      <c r="B8" t="s">
        <v>100</v>
      </c>
      <c r="M8" t="s">
        <v>173</v>
      </c>
    </row>
    <row r="9" spans="1:20">
      <c r="M9" t="s">
        <v>104</v>
      </c>
    </row>
    <row r="13" spans="1:20">
      <c r="B13" t="s">
        <v>49</v>
      </c>
    </row>
    <row r="14" spans="1:20">
      <c r="A14" t="s">
        <v>175</v>
      </c>
      <c r="B14" t="s">
        <v>174</v>
      </c>
      <c r="D14" t="s">
        <v>176</v>
      </c>
    </row>
    <row r="15" spans="1:20">
      <c r="D15" t="s">
        <v>177</v>
      </c>
    </row>
    <row r="17" spans="2:6">
      <c r="B17" t="s">
        <v>178</v>
      </c>
      <c r="F17" t="s">
        <v>179</v>
      </c>
    </row>
    <row r="19" spans="2:6">
      <c r="B19" t="s">
        <v>181</v>
      </c>
      <c r="D19" t="s">
        <v>179</v>
      </c>
    </row>
    <row r="21" spans="2:6">
      <c r="B21" t="s">
        <v>180</v>
      </c>
      <c r="D21" t="s">
        <v>179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概要</vt:lpstr>
      <vt:lpstr>作業工数見積もり</vt:lpstr>
      <vt:lpstr>日記</vt:lpstr>
      <vt:lpstr>メモ</vt:lpstr>
      <vt:lpstr>カレンダー</vt:lpstr>
      <vt:lpstr>雑用</vt:lpstr>
      <vt:lpstr>仕様書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2026-06-03T13:55:20Z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