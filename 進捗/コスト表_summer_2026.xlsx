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9AC8F9A1-9F9F-4A02-9377-92A73011A367}" xr6:coauthVersionLast="47" xr6:coauthVersionMax="47" xr10:uidLastSave="{00000000-0000-0000-0000-000000000000}"/>
  <bookViews>
    <workbookView xWindow="-120" yWindow="-120" windowWidth="38640" windowHeight="21120" activeTab="1"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<sst xmlns="http://schemas.openxmlformats.org/spreadsheetml/2006/main" count="660" uniqueCount="421">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</sst>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22</v>
      </c>
      <c r="D4" t="s">
        <v>7</v>
      </c>
    </row>
    <row r="5" spans="2:5">
      <c r="B5" s="6" t="s">
        <v>8</v>
      </c>
      <c r="C5" s="2">
        <f ca="1">NETWORKDAYS(C6,C7)</f>
        <v>437</v>
      </c>
      <c r="D5" s="3">
        <f ca="1" xml:space="preserve"> C4 / C5</f>
        <v>5.0343249427917618E-2</v>
      </c>
    </row>
    <row r="6" spans="2:5">
      <c r="B6" s="7" t="s">
        <v>9</v>
      </c>
      <c r="C6" s="1">
        <f>DATE(2024,11,7)</f>
        <v>45603</v>
      </c>
    </row>
    <row r="7" spans="2:5">
      <c r="B7" s="8" t="s">
        <v>11</v>
      </c>
      <c r="C7" s="1">
        <f ca="1">TODAY()</f>
        <v>46215</v>
      </c>
    </row>
    <row r="9" spans="2:5">
      <c r="D9" t="s">
        <v>12</v>
      </c>
      <c r="E9" t="s">
        <v>13</v>
      </c>
    </row>
    <row r="10" spans="2:5">
      <c r="B10" s="4" t="s">
        <v>15</v>
      </c>
      <c r="C10" s="1">
        <f>DATE(2024,12,20)</f>
        <v>45646</v>
      </c>
      <c r="D10" s="2">
        <f ca="1">NETWORKDAYS(TODAY(),C10)</f>
        <v>-406</v>
      </c>
      <c r="E10" s="3">
        <f ca="1">($C$3 - $C$4) / D10</f>
        <v>-0.40640394088669951</v>
      </c>
    </row>
    <row r="11" spans="2:5">
      <c r="B11" s="9" t="s">
        <v>16</v>
      </c>
      <c r="C11" s="1">
        <f>DATE(2025,1,17)</f>
        <v>45674</v>
      </c>
      <c r="D11" s="2">
        <f ca="1">NETWORKDAYS(TODAY(),C11)</f>
        <v>-386</v>
      </c>
      <c r="E11" s="3">
        <f ca="1">($C$3 - $C$4) / D11</f>
        <v>-0.42746113989637308</v>
      </c>
    </row>
    <row r="12" spans="2:5">
      <c r="B12" s="6" t="s">
        <v>17</v>
      </c>
      <c r="C12" s="1">
        <f>DATE(2025,2,3)</f>
        <v>45691</v>
      </c>
      <c r="D12" s="2">
        <f ca="1">NETWORKDAYS(TODAY(),C12)</f>
        <v>-375</v>
      </c>
      <c r="E12" s="3">
        <f ca="1">($C$3 - $C$4) / D12</f>
        <v>-0.44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abSelected="1" zoomScale="85" zoomScaleNormal="85" workbookViewId="0">
      <selection activeCell="G36" sqref="G36"/>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113</v>
      </c>
      <c r="L3" s="10">
        <f>SUM(F3:F43)</f>
        <v>42</v>
      </c>
      <c r="M3" s="10">
        <f ca="1">INT(J11 - TODAY())</f>
        <v>50</v>
      </c>
      <c r="N3" s="10">
        <f ca="1">K3/M3</f>
        <v>2.2599999999999998</v>
      </c>
    </row>
    <row r="4" spans="1:14" ht="26.25" hidden="1" customHeight="1">
      <c r="A4" s="17" t="s">
        <v>35</v>
      </c>
      <c r="B4" s="10" t="s">
        <v>48</v>
      </c>
      <c r="C4" s="16" t="s">
        <v>14</v>
      </c>
      <c r="D4" s="16" t="s">
        <v>10</v>
      </c>
      <c r="E4" s="16">
        <v>0</v>
      </c>
      <c r="G4" s="16" t="s">
        <v>39</v>
      </c>
      <c r="I4" s="26" t="s">
        <v>28</v>
      </c>
      <c r="J4" s="29">
        <f>SUMIF(D3:D55,I4,E3:E55)</f>
        <v>94</v>
      </c>
      <c r="K4" s="10">
        <f>SUMIFS(E3:E55,G3:G55,"未着手",D3:D55,I4)</f>
        <v>38</v>
      </c>
      <c r="L4" s="10">
        <f>SUMIFS(F3:F43,D3:D43,I4)</f>
        <v>42</v>
      </c>
      <c r="M4" s="10">
        <f ca="1">INT(J12-TODAY())</f>
        <v>5</v>
      </c>
      <c r="N4" s="10">
        <f ca="1">J4/M4</f>
        <v>18.8</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29</v>
      </c>
      <c r="N5" s="10">
        <f t="shared" ref="N5:N6" ca="1" si="1">J5/M5</f>
        <v>2.6551724137931036</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46</v>
      </c>
      <c r="N6" s="10">
        <f t="shared" ca="1" si="1"/>
        <v>0.34782608695652173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393</v>
      </c>
      <c r="C17" s="16" t="s">
        <v>5</v>
      </c>
      <c r="D17" s="16" t="s">
        <v>18</v>
      </c>
      <c r="E17" s="16">
        <v>1</v>
      </c>
      <c r="F17" s="16">
        <v>1</v>
      </c>
      <c r="G17" s="16" t="s">
        <v>57</v>
      </c>
    </row>
    <row r="18" spans="1:7">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G22" s="16" t="s">
        <v>39</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c r="A36" s="21" t="s">
        <v>40</v>
      </c>
      <c r="B36" s="10" t="s">
        <v>394</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97"/>
  <sheetViews>
    <sheetView topLeftCell="A62" workbookViewId="0">
      <selection activeCell="C98" sqref="C9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row r="92" spans="3:3">
      <c r="C92" t="s">
        <v>415</v>
      </c>
    </row>
    <row r="93" spans="3:3">
      <c r="C93" t="s">
        <v>416</v>
      </c>
    </row>
    <row r="94" spans="3:3">
      <c r="C94" t="s">
        <v>417</v>
      </c>
    </row>
    <row r="95" spans="3:3">
      <c r="C95" t="s">
        <v>418</v>
      </c>
    </row>
    <row r="96" spans="3:3">
      <c r="C96" t="s">
        <v>419</v>
      </c>
    </row>
    <row r="97" spans="3:3">
      <c r="C97" t="s">
        <v>420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2026-07-11T19:42:03Z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