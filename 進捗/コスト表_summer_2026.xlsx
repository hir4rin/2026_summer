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HiraoTaiki\Documents\GitHub\2026_summer\進捗\"/>
    </mc:Choice>
  </mc:AlternateContent>
  <xr:revisionPtr revIDLastSave="0" documentId="13_ncr:1_{F2CBBEE6-945B-4E8A-AD02-6B32DB4237F4}" xr6:coauthVersionLast="47" xr6:coauthVersionMax="47" xr10:uidLastSave="{00000000-0000-0000-0000-000000000000}"/>
  <bookViews>
    <workbookView xWindow="-120" yWindow="-120" windowWidth="29040" windowHeight="15720"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<sst xmlns="http://schemas.openxmlformats.org/spreadsheetml/2006/main" count="584" uniqueCount="288">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</sst>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423</v>
      </c>
      <c r="D5" s="3">
        <f ca="1" xml:space="preserve"> C4 / C5</f>
        <v>1.4184397163120567E-2</v>
      </c>
    </row>
    <row r="6" spans="2:5">
      <c r="B6" s="7" t="s">
        <v>9</v>
      </c>
      <c r="C6" s="1">
        <f>DATE(2024,11,7)</f>
        <v>45603</v>
      </c>
    </row>
    <row r="7" spans="2:5">
      <c r="B7" s="8" t="s">
        <v>11</v>
      </c>
      <c r="C7" s="1">
        <f ca="1">TODAY()</f>
        <v>46195</v>
      </c>
    </row>
    <row r="9" spans="2:5">
      <c r="D9" t="s">
        <v>12</v>
      </c>
      <c r="E9" t="s">
        <v>13</v>
      </c>
    </row>
    <row r="10" spans="2:5">
      <c r="B10" s="4" t="s">
        <v>15</v>
      </c>
      <c r="C10" s="1">
        <f>DATE(2024,12,20)</f>
        <v>45646</v>
      </c>
      <c r="D10" s="2">
        <f ca="1">NETWORKDAYS(TODAY(),C10)</f>
        <v>-392</v>
      </c>
      <c r="E10" s="3">
        <f ca="1">($C$3 - $C$4) / D10</f>
        <v>-0.21938775510204081</v>
      </c>
    </row>
    <row r="11" spans="2:5">
      <c r="B11" s="9" t="s">
        <v>16</v>
      </c>
      <c r="C11" s="1">
        <f>DATE(2025,1,17)</f>
        <v>45674</v>
      </c>
      <c r="D11" s="2">
        <f ca="1">NETWORKDAYS(TODAY(),C11)</f>
        <v>-372</v>
      </c>
      <c r="E11" s="3">
        <f ca="1">($C$3 - $C$4) / D11</f>
        <v>-0.23118279569892472</v>
      </c>
    </row>
    <row r="12" spans="2:5">
      <c r="B12" s="6" t="s">
        <v>17</v>
      </c>
      <c r="C12" s="1">
        <f>DATE(2025,2,3)</f>
        <v>45691</v>
      </c>
      <c r="D12" s="2">
        <f ca="1">NETWORKDAYS(TODAY(),C12)</f>
        <v>-361</v>
      </c>
      <c r="E12" s="3">
        <f ca="1">($C$3 - $C$4) / D12</f>
        <v>-0.23822714681440443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0"/>
  <sheetViews>
    <sheetView tabSelected="1" workbookViewId="0">
      <selection activeCell="C21" sqref="C21"/>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2026-06-22T09:59:10Z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