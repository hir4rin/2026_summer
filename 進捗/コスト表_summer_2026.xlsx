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HiraoTaiki\Documents\GitHub\2026_summer\進捗\"/>
    </mc:Choice>
  </mc:AlternateContent>
  <xr:revisionPtr revIDLastSave="0" documentId="13_ncr:1_{063AE13E-1080-4B86-A8F1-9DBABB8A83F1}" xr6:coauthVersionLast="47" xr6:coauthVersionMax="47" xr10:uidLastSave="{00000000-0000-0000-0000-000000000000}"/>
  <bookViews>
    <workbookView xWindow="3915" yWindow="2520" windowWidth="21225" windowHeight="11295" firstSheet="1" activeTab="8" xr2:uid="{00000000-000D-0000-FFFF-FFFF00000000}"/>
  </bookViews>
  <sheets>
    <sheet name="概要" sheetId="5" r:id="rId1"/>
    <sheet name="作業工数見積もり" sheetId="1" r:id="rId2"/>
    <sheet name="カレンダー" sheetId="6" r:id="rId3"/>
    <sheet name="日記" sheetId="12" r:id="rId4"/>
    <sheet name="メモ" sheetId="9" r:id="rId5"/>
    <sheet name="雑用" sheetId="10" r:id="rId6"/>
    <sheet name="仕様書①" sheetId="13" r:id="rId7"/>
    <sheet name="仕様書②" sheetId="15" r:id="rId8"/>
    <sheet name="クラス設計" sheetId="14" r:id="rId9"/>
  </sheets>
  <definedNames>
    <definedName name="_xlnm._FilterDatabase" localSheetId="1" hidden="1">作業工数見積もり!$B$2:$G$63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J7" i="1"/>
  <c r="K5" i="1"/>
  <c r="K6" i="1"/>
  <c r="K4" i="1"/>
  <c r="L5" i="1"/>
  <c r="L6" i="1"/>
  <c r="L4" i="1"/>
  <c r="L3" i="1"/>
  <c r="J5" i="1"/>
  <c r="J6" i="1"/>
  <c r="J4" i="1"/>
  <c r="C3" i="5"/>
  <c r="C4" i="5"/>
  <c r="C6" i="5"/>
  <c r="C7" i="5"/>
  <c r="C5" i="5" s="1"/>
  <c r="C10" i="5"/>
  <c r="D10" i="5"/>
  <c r="C11" i="5"/>
  <c r="D11" i="5"/>
  <c r="C12" i="5"/>
  <c r="D12" i="5"/>
  <c r="J3" i="1" l="1"/>
  <c r="E12" i="5"/>
  <c r="D5" i="5"/>
  <c r="E10" i="5"/>
  <c r="E11" i="5"/>
</calcChain>
</file>

<file path=xl/sharedStrings.xml><?xml version="1.0" encoding="utf-8"?>
<sst xmlns="http://schemas.openxmlformats.org/spreadsheetml/2006/main" count="558" uniqueCount="263">
  <si>
    <t>アルファ</t>
    <phoneticPr fontId="1"/>
  </si>
  <si>
    <t>優先度</t>
    <rPh sb="0" eb="3">
      <t>ユウセンド</t>
    </rPh>
    <phoneticPr fontId="1"/>
  </si>
  <si>
    <t>バージョン</t>
    <phoneticPr fontId="1"/>
  </si>
  <si>
    <t>実コスト</t>
    <rPh sb="0" eb="1">
      <t>ジツ</t>
    </rPh>
    <phoneticPr fontId="1"/>
  </si>
  <si>
    <t>総コスト</t>
    <rPh sb="0" eb="1">
      <t>ソウ</t>
    </rPh>
    <phoneticPr fontId="1"/>
  </si>
  <si>
    <t>S</t>
  </si>
  <si>
    <t>消化コスト</t>
    <rPh sb="0" eb="2">
      <t>ショウカ</t>
    </rPh>
    <phoneticPr fontId="1"/>
  </si>
  <si>
    <t>消費コスト / 日数</t>
    <rPh sb="0" eb="2">
      <t>ショウヒ</t>
    </rPh>
    <rPh sb="8" eb="10">
      <t>ニッスウ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</si>
  <si>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</si>
  <si>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開始日</t>
    <rPh sb="0" eb="3">
      <t>カイシビ</t>
    </rPh>
    <phoneticPr fontId="1"/>
  </si>
  <si>
    <t>アルファ</t>
  </si>
  <si>
    <t>今日の日付</t>
    <rPh sb="0" eb="2">
      <t>キョウ</t>
    </rPh>
    <rPh sb="3" eb="5">
      <t>ヒヅケ</t>
    </rPh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</si>
  <si>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</si>
  <si>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</si>
  <si>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B</t>
  </si>
  <si>
    <t>理想</t>
    <rPh sb="0" eb="2">
      <t>リソウ</t>
    </rPh>
    <phoneticPr fontId="1"/>
  </si>
  <si>
    <t>デッドライン</t>
    <phoneticPr fontId="1"/>
  </si>
  <si>
    <t>真実のデッドライン</t>
    <rPh sb="0" eb="2">
      <t>シンジツ</t>
    </rPh>
    <phoneticPr fontId="1"/>
  </si>
  <si>
    <t>プロト</t>
  </si>
  <si>
    <t>S：実装が必須</t>
    <rPh sb="2" eb="4">
      <t>ジッソウ</t>
    </rPh>
    <rPh sb="5" eb="7">
      <t>ヒッス</t>
    </rPh>
    <phoneticPr fontId="1"/>
  </si>
  <si>
    <t>A：重要な要素</t>
    <rPh sb="2" eb="4">
      <t>ジュウヨウ</t>
    </rPh>
    <rPh sb="5" eb="7">
      <t>ヨウソ</t>
    </rPh>
    <phoneticPr fontId="1"/>
  </si>
  <si>
    <t>B：なくても問題ないがあるといい</t>
    <rPh sb="6" eb="8">
      <t>モンダイ</t>
    </rPh>
    <phoneticPr fontId="1"/>
  </si>
  <si>
    <t>C：なくても問題ない</t>
    <rPh sb="6" eb="8">
      <t>モンダイ</t>
    </rPh>
    <phoneticPr fontId="1"/>
  </si>
  <si>
    <t>作業工数について</t>
    <rPh sb="0" eb="4">
      <t>サギョウコウスウ</t>
    </rPh>
    <phoneticPr fontId="1"/>
  </si>
  <si>
    <t>単位は人日</t>
    <rPh sb="0" eb="2">
      <t>タンイ</t>
    </rPh>
    <rPh sb="3" eb="5">
      <t>ニンニチ</t>
    </rPh>
    <phoneticPr fontId="1"/>
  </si>
  <si>
    <t>1人日＝8時間</t>
    <rPh sb="1" eb="3">
      <t>ニンニチ</t>
    </rPh>
    <rPh sb="5" eb="7">
      <t>ジカン</t>
    </rPh>
    <phoneticPr fontId="1"/>
  </si>
  <si>
    <t>最小＝0.25人日(2時間)</t>
    <rPh sb="0" eb="2">
      <t>サイショウ</t>
    </rPh>
    <rPh sb="7" eb="9">
      <t>ニンニチ</t>
    </rPh>
    <rPh sb="11" eb="13">
      <t>ジカン</t>
    </rPh>
    <phoneticPr fontId="1"/>
  </si>
  <si>
    <t>0.25(2時間)→0.5(4時間)→1(8時間)</t>
    <rPh sb="6" eb="8">
      <t>ジカン</t>
    </rPh>
    <phoneticPr fontId="1"/>
  </si>
  <si>
    <t>プロト</t>
    <phoneticPr fontId="1"/>
  </si>
  <si>
    <t>ベータ</t>
    <phoneticPr fontId="1"/>
  </si>
  <si>
    <t>マスター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</si>
  <si>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</si>
  <si>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</si>
  <si>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作業工数</t>
    <rPh sb="0" eb="4">
      <t>サギョウコウスウ</t>
    </rPh>
    <phoneticPr fontId="1"/>
  </si>
  <si>
    <t>ステータス</t>
    <phoneticPr fontId="1"/>
  </si>
  <si>
    <t>アルファ素材集め</t>
    <rPh sb="4" eb="6">
      <t>ソザイ</t>
    </rPh>
    <rPh sb="6" eb="7">
      <t>アツ</t>
    </rPh>
    <phoneticPr fontId="1"/>
  </si>
  <si>
    <t>UI素材</t>
    <rPh sb="2" eb="4">
      <t>ソザイ</t>
    </rPh>
    <phoneticPr fontId="1"/>
  </si>
  <si>
    <t>当たり判定</t>
    <rPh sb="0" eb="1">
      <t>ア</t>
    </rPh>
    <rPh sb="3" eb="5">
      <t>ハンテイ</t>
    </rPh>
    <phoneticPr fontId="1"/>
  </si>
  <si>
    <t>システム</t>
    <phoneticPr fontId="1"/>
  </si>
  <si>
    <t>未着手</t>
  </si>
  <si>
    <t>カメラ</t>
    <phoneticPr fontId="1"/>
  </si>
  <si>
    <t>ステージ</t>
    <phoneticPr fontId="1"/>
  </si>
  <si>
    <t>UI</t>
    <phoneticPr fontId="1"/>
  </si>
  <si>
    <t>表示、移動</t>
    <rPh sb="0" eb="2">
      <t>ヒョウジ</t>
    </rPh>
    <rPh sb="3" eb="5">
      <t>イドウ</t>
    </rPh>
    <phoneticPr fontId="1"/>
  </si>
  <si>
    <t>1コスト1時間</t>
    <rPh sb="5" eb="7">
      <t>ジカン</t>
    </rPh>
    <phoneticPr fontId="1"/>
  </si>
  <si>
    <t>プレイヤー</t>
    <phoneticPr fontId="1"/>
  </si>
  <si>
    <t>移動アニメーション</t>
    <phoneticPr fontId="1"/>
  </si>
  <si>
    <t>攻撃アニメーション</t>
    <rPh sb="0" eb="2">
      <t>コウゲキ</t>
    </rPh>
    <phoneticPr fontId="1"/>
  </si>
  <si>
    <t>4/13まで</t>
    <phoneticPr fontId="1"/>
  </si>
  <si>
    <t>敵</t>
    <rPh sb="0" eb="1">
      <t>テキ</t>
    </rPh>
    <phoneticPr fontId="1"/>
  </si>
  <si>
    <t>カメラの移動</t>
    <rPh sb="4" eb="6">
      <t>イドウ</t>
    </rPh>
    <phoneticPr fontId="1"/>
  </si>
  <si>
    <t>剣の表示</t>
    <rPh sb="0" eb="1">
      <t>ケン</t>
    </rPh>
    <rPh sb="2" eb="4">
      <t>ヒョウジ</t>
    </rPh>
    <phoneticPr fontId="1"/>
  </si>
  <si>
    <t>ゲームループ用のシステム</t>
    <rPh sb="6" eb="7">
      <t>ヨウ</t>
    </rPh>
    <phoneticPr fontId="1"/>
  </si>
  <si>
    <t>ステージの表示</t>
    <rPh sb="5" eb="7">
      <t>ヒョウジ</t>
    </rPh>
    <phoneticPr fontId="1"/>
  </si>
  <si>
    <t>攻撃と敵との当たり判定</t>
    <rPh sb="0" eb="2">
      <t>コウゲキ</t>
    </rPh>
    <rPh sb="3" eb="4">
      <t>テキ</t>
    </rPh>
    <rPh sb="6" eb="7">
      <t>ア</t>
    </rPh>
    <rPh sb="9" eb="11">
      <t>ハンテイ</t>
    </rPh>
    <phoneticPr fontId="1"/>
  </si>
  <si>
    <t>被弾アニメーション</t>
    <rPh sb="0" eb="2">
      <t>ヒダン</t>
    </rPh>
    <phoneticPr fontId="1"/>
  </si>
  <si>
    <t>モデル探し</t>
    <rPh sb="3" eb="4">
      <t>サガ</t>
    </rPh>
    <phoneticPr fontId="1"/>
  </si>
  <si>
    <t>BGM探し</t>
    <rPh sb="3" eb="4">
      <t>サガ</t>
    </rPh>
    <phoneticPr fontId="1"/>
  </si>
  <si>
    <t>SE探し</t>
    <rPh sb="2" eb="3">
      <t>サガ</t>
    </rPh>
    <phoneticPr fontId="1"/>
  </si>
  <si>
    <t>プレイヤーと敵との当たり判定</t>
    <rPh sb="6" eb="7">
      <t>テキ</t>
    </rPh>
    <rPh sb="9" eb="10">
      <t>ア</t>
    </rPh>
    <rPh sb="12" eb="14">
      <t>ハンテイ</t>
    </rPh>
    <phoneticPr fontId="1"/>
  </si>
  <si>
    <t>インゲーム中のシステム</t>
    <rPh sb="5" eb="6">
      <t>チュウ</t>
    </rPh>
    <phoneticPr fontId="1"/>
  </si>
  <si>
    <t>UX</t>
    <phoneticPr fontId="1"/>
  </si>
  <si>
    <t>日</t>
    <rPh sb="0" eb="1">
      <t>ニチ</t>
    </rPh>
    <phoneticPr fontId="1"/>
  </si>
  <si>
    <t>月</t>
  </si>
  <si>
    <t>火</t>
  </si>
  <si>
    <t>水</t>
  </si>
  <si>
    <t>木</t>
  </si>
  <si>
    <t>金</t>
  </si>
  <si>
    <t>土</t>
  </si>
  <si>
    <t>カメラに合わせたプレイヤーの移動、回転</t>
    <rPh sb="4" eb="5">
      <t>ア</t>
    </rPh>
    <rPh sb="14" eb="16">
      <t>イドウ</t>
    </rPh>
    <rPh sb="17" eb="19">
      <t>カイテン</t>
    </rPh>
    <phoneticPr fontId="1"/>
  </si>
  <si>
    <t>完了</t>
  </si>
  <si>
    <t>作業中(作業工数)</t>
    <rPh sb="0" eb="3">
      <t>サギョウチュウ</t>
    </rPh>
    <rPh sb="4" eb="8">
      <t>サギョウコウスウ</t>
    </rPh>
    <phoneticPr fontId="1"/>
  </si>
  <si>
    <t>実コスト</t>
    <rPh sb="0" eb="1">
      <t>ジツ</t>
    </rPh>
    <phoneticPr fontId="1"/>
  </si>
  <si>
    <t>予想コスト</t>
    <rPh sb="0" eb="2">
      <t>ヨソウ</t>
    </rPh>
    <phoneticPr fontId="1"/>
  </si>
  <si>
    <t>残りコスト</t>
    <rPh sb="0" eb="1">
      <t>ノコ</t>
    </rPh>
    <phoneticPr fontId="1"/>
  </si>
  <si>
    <t>全体の作業時間</t>
    <phoneticPr fontId="1"/>
  </si>
  <si>
    <t>5月</t>
    <rPh sb="1" eb="2">
      <t>ガツ</t>
    </rPh>
    <phoneticPr fontId="1"/>
  </si>
  <si>
    <t>6月</t>
    <rPh sb="1" eb="2">
      <t>ガツ</t>
    </rPh>
    <phoneticPr fontId="1"/>
  </si>
  <si>
    <t>7月</t>
    <rPh sb="1" eb="2">
      <t>ガツ</t>
    </rPh>
    <phoneticPr fontId="1"/>
  </si>
  <si>
    <t>8月</t>
    <rPh sb="1" eb="2">
      <t>ガツ</t>
    </rPh>
    <phoneticPr fontId="1"/>
  </si>
  <si>
    <t>masuta</t>
    <phoneticPr fontId="1"/>
  </si>
  <si>
    <t>計81日</t>
    <rPh sb="0" eb="1">
      <t>ケイ</t>
    </rPh>
    <rPh sb="3" eb="4">
      <t>ニチ</t>
    </rPh>
    <phoneticPr fontId="1"/>
  </si>
  <si>
    <t>日数</t>
    <rPh sb="0" eb="2">
      <t>ニッスウ</t>
    </rPh>
    <phoneticPr fontId="1"/>
  </si>
  <si>
    <t>弱攻撃</t>
    <rPh sb="0" eb="1">
      <t>ジャク</t>
    </rPh>
    <rPh sb="1" eb="3">
      <t>コウゲキ</t>
    </rPh>
    <phoneticPr fontId="1"/>
  </si>
  <si>
    <t>強攻撃</t>
    <rPh sb="0" eb="3">
      <t>キョウコウゲキ</t>
    </rPh>
    <phoneticPr fontId="1"/>
  </si>
  <si>
    <t>コンボ攻撃</t>
    <rPh sb="3" eb="5">
      <t>コウゲキ</t>
    </rPh>
    <phoneticPr fontId="1"/>
  </si>
  <si>
    <t>攻撃当たり判定</t>
    <rPh sb="0" eb="2">
      <t>コウゲキ</t>
    </rPh>
    <rPh sb="2" eb="3">
      <t>ア</t>
    </rPh>
    <rPh sb="5" eb="7">
      <t>ハンテイ</t>
    </rPh>
    <phoneticPr fontId="1"/>
  </si>
  <si>
    <t>マップとの当たり判定</t>
    <rPh sb="5" eb="6">
      <t>ア</t>
    </rPh>
    <rPh sb="8" eb="10">
      <t>ハンテイ</t>
    </rPh>
    <phoneticPr fontId="1"/>
  </si>
  <si>
    <t>カメラの当たり判定</t>
    <rPh sb="4" eb="5">
      <t>ア</t>
    </rPh>
    <rPh sb="7" eb="9">
      <t>ハンテイ</t>
    </rPh>
    <phoneticPr fontId="1"/>
  </si>
  <si>
    <t>ウルト</t>
    <phoneticPr fontId="1"/>
  </si>
  <si>
    <t>ダッシュ</t>
    <phoneticPr fontId="1"/>
  </si>
  <si>
    <t>攻撃</t>
    <rPh sb="0" eb="2">
      <t>コウゲキ</t>
    </rPh>
    <phoneticPr fontId="1"/>
  </si>
  <si>
    <t>・Idle</t>
    <phoneticPr fontId="1"/>
  </si>
  <si>
    <t>・Attack</t>
    <phoneticPr fontId="1"/>
  </si>
  <si>
    <t>・Skill</t>
    <phoneticPr fontId="1"/>
  </si>
  <si>
    <t>・Ult</t>
    <phoneticPr fontId="1"/>
  </si>
  <si>
    <t>・Dash</t>
    <phoneticPr fontId="1"/>
  </si>
  <si>
    <t>ジャスト回避</t>
    <rPh sb="4" eb="6">
      <t>カイヒ</t>
    </rPh>
    <phoneticPr fontId="1"/>
  </si>
  <si>
    <t>ジャスト回避反撃</t>
    <rPh sb="4" eb="6">
      <t>カイヒ</t>
    </rPh>
    <rPh sb="6" eb="8">
      <t>ハンゲキ</t>
    </rPh>
    <phoneticPr fontId="1"/>
  </si>
  <si>
    <t>ダッシュ攻撃</t>
    <rPh sb="4" eb="6">
      <t>コウゲキ</t>
    </rPh>
    <phoneticPr fontId="1"/>
  </si>
  <si>
    <t>・Idle</t>
    <phoneticPr fontId="1"/>
  </si>
  <si>
    <t>・Caution</t>
    <phoneticPr fontId="1"/>
  </si>
  <si>
    <t>警戒</t>
    <rPh sb="0" eb="2">
      <t>ケイカイ</t>
    </rPh>
    <phoneticPr fontId="1"/>
  </si>
  <si>
    <t>・Hit</t>
    <phoneticPr fontId="1"/>
  </si>
  <si>
    <t>・Dead</t>
    <phoneticPr fontId="1"/>
  </si>
  <si>
    <t>死亡</t>
    <rPh sb="0" eb="2">
      <t>シボウ</t>
    </rPh>
    <phoneticPr fontId="1"/>
  </si>
  <si>
    <t>プレイヤーのカメラ</t>
    <phoneticPr fontId="1"/>
  </si>
  <si>
    <t>player攻撃の演出カメラ</t>
    <rPh sb="0" eb="8">
      <t>プレイヤーコウゲキ</t>
    </rPh>
    <rPh sb="9" eb="11">
      <t>エンシュツ</t>
    </rPh>
    <phoneticPr fontId="1"/>
  </si>
  <si>
    <t>ヒットエフェクト、タイムスケール実装</t>
    <phoneticPr fontId="1"/>
  </si>
  <si>
    <t>ステージの表示</t>
    <rPh sb="5" eb="7">
      <t>ヒョウジ</t>
    </rPh>
    <phoneticPr fontId="1"/>
  </si>
  <si>
    <t>ステージの当たり判定</t>
    <rPh sb="5" eb="6">
      <t>ア</t>
    </rPh>
    <rPh sb="8" eb="10">
      <t>ハンテイ</t>
    </rPh>
    <phoneticPr fontId="1"/>
  </si>
  <si>
    <t>シーン遷移</t>
    <rPh sb="3" eb="5">
      <t>センイ</t>
    </rPh>
    <phoneticPr fontId="1"/>
  </si>
  <si>
    <t>・タイトルシーン</t>
    <phoneticPr fontId="1"/>
  </si>
  <si>
    <t>・ゲームシーン</t>
    <phoneticPr fontId="1"/>
  </si>
  <si>
    <t>・リザルトシーン</t>
    <phoneticPr fontId="1"/>
  </si>
  <si>
    <t>・セレクトシーン</t>
    <phoneticPr fontId="1"/>
  </si>
  <si>
    <t>・チュートリアル</t>
    <phoneticPr fontId="1"/>
  </si>
  <si>
    <t>・雑魚敵、中ボス、大ボス</t>
    <rPh sb="1" eb="4">
      <t>ザコテキ</t>
    </rPh>
    <rPh sb="5" eb="6">
      <t>チュウ</t>
    </rPh>
    <rPh sb="9" eb="10">
      <t>オオ</t>
    </rPh>
    <phoneticPr fontId="1"/>
  </si>
  <si>
    <t>必須：入力バッファのシステムがいる！！！</t>
    <rPh sb="0" eb="2">
      <t>ヒッス</t>
    </rPh>
    <rPh sb="3" eb="5">
      <t>ニュウリョク</t>
    </rPh>
    <phoneticPr fontId="1"/>
  </si>
  <si>
    <t>月日</t>
    <rPh sb="0" eb="2">
      <t>ツキヒ</t>
    </rPh>
    <phoneticPr fontId="1"/>
  </si>
  <si>
    <t>時間</t>
    <rPh sb="0" eb="2">
      <t>ジカン</t>
    </rPh>
    <phoneticPr fontId="1"/>
  </si>
  <si>
    <t>メモ</t>
    <phoneticPr fontId="1"/>
  </si>
  <si>
    <t>8時間</t>
    <rPh sb="1" eb="3">
      <t>ジカン</t>
    </rPh>
    <phoneticPr fontId="1"/>
  </si>
  <si>
    <t>シーンコントローラー、Input,とかの基盤を作った、Playerクラスの基底クラスの基盤を作った、PlayerのStatePatternを作っている途中</t>
    <rPh sb="20" eb="22">
      <t>キバン</t>
    </rPh>
    <rPh sb="23" eb="24">
      <t>ツク</t>
    </rPh>
    <rPh sb="37" eb="39">
      <t>キテイ</t>
    </rPh>
    <rPh sb="43" eb="45">
      <t>キバン</t>
    </rPh>
    <rPh sb="46" eb="47">
      <t>ツク</t>
    </rPh>
    <rPh sb="70" eb="71">
      <t>ツク</t>
    </rPh>
    <rPh sb="75" eb="77">
      <t>トチュウ</t>
    </rPh>
    <phoneticPr fontId="1"/>
  </si>
  <si>
    <t>5時間</t>
    <rPh sb="1" eb="3">
      <t>ジカン</t>
    </rPh>
    <phoneticPr fontId="1"/>
  </si>
  <si>
    <t>PlayerStateのattackState作ってた、次はattack中の移動時間を制限する</t>
    <rPh sb="23" eb="24">
      <t>ツク</t>
    </rPh>
    <rPh sb="28" eb="29">
      <t>ツギ</t>
    </rPh>
    <rPh sb="36" eb="37">
      <t>チュウ</t>
    </rPh>
    <rPh sb="38" eb="40">
      <t>イドウ</t>
    </rPh>
    <rPh sb="40" eb="42">
      <t>ジカン</t>
    </rPh>
    <rPh sb="43" eb="45">
      <t>セイゲン</t>
    </rPh>
    <phoneticPr fontId="1"/>
  </si>
  <si>
    <t>まだ当たり判定系はなにもしていない</t>
    <rPh sb="2" eb="3">
      <t>ア</t>
    </rPh>
    <rPh sb="5" eb="8">
      <t>ハンテイケイ</t>
    </rPh>
    <phoneticPr fontId="1"/>
  </si>
  <si>
    <t>←必須ではなかった</t>
    <rPh sb="1" eb="3">
      <t>ヒッス</t>
    </rPh>
    <phoneticPr fontId="1"/>
  </si>
  <si>
    <t>入力バッファの利点：爽快感が上がり、雑にコンボができるようになる</t>
    <rPh sb="0" eb="2">
      <t>ニュウリョク</t>
    </rPh>
    <rPh sb="7" eb="9">
      <t>リテン</t>
    </rPh>
    <rPh sb="10" eb="13">
      <t>ソウカイカン</t>
    </rPh>
    <rPh sb="14" eb="15">
      <t>ア</t>
    </rPh>
    <rPh sb="18" eb="19">
      <t>ザツ</t>
    </rPh>
    <phoneticPr fontId="1"/>
  </si>
  <si>
    <t>現在、0.2~0.8のがばでとっているため、あまり変わらない</t>
    <rPh sb="0" eb="2">
      <t>ゲンザイ</t>
    </rPh>
    <rPh sb="25" eb="26">
      <t>カ</t>
    </rPh>
    <phoneticPr fontId="1"/>
  </si>
  <si>
    <t>シビアになってきたときに輝く</t>
    <rPh sb="12" eb="13">
      <t>カガヤ</t>
    </rPh>
    <phoneticPr fontId="1"/>
  </si>
  <si>
    <t>just回避、just回避反撃のStateは行動が全然別なので、分けた方がよい</t>
    <rPh sb="4" eb="6">
      <t>カイヒ</t>
    </rPh>
    <rPh sb="11" eb="13">
      <t>カイヒ</t>
    </rPh>
    <rPh sb="13" eb="15">
      <t>ハンゲキ</t>
    </rPh>
    <rPh sb="22" eb="24">
      <t>コウドウ</t>
    </rPh>
    <rPh sb="25" eb="27">
      <t>ゼンゼン</t>
    </rPh>
    <rPh sb="27" eb="28">
      <t>ベツ</t>
    </rPh>
    <rPh sb="32" eb="33">
      <t>ワ</t>
    </rPh>
    <rPh sb="35" eb="36">
      <t>ホウ</t>
    </rPh>
    <phoneticPr fontId="1"/>
  </si>
  <si>
    <t>・Hit</t>
    <phoneticPr fontId="1"/>
  </si>
  <si>
    <t>・Dead</t>
    <phoneticPr fontId="1"/>
  </si>
  <si>
    <t>死亡処理</t>
    <rPh sb="0" eb="2">
      <t>シボウ</t>
    </rPh>
    <rPh sb="2" eb="4">
      <t>ショリ</t>
    </rPh>
    <phoneticPr fontId="1"/>
  </si>
  <si>
    <t>ヒット処理</t>
    <rPh sb="3" eb="5">
      <t>ショリ</t>
    </rPh>
    <phoneticPr fontId="1"/>
  </si>
  <si>
    <t>・Jump</t>
    <phoneticPr fontId="1"/>
  </si>
  <si>
    <t>jump挙動</t>
    <rPh sb="4" eb="6">
      <t>キョドウ</t>
    </rPh>
    <phoneticPr fontId="1"/>
  </si>
  <si>
    <t>jump当たり判定</t>
    <rPh sb="4" eb="5">
      <t>ア</t>
    </rPh>
    <rPh sb="7" eb="9">
      <t>ハンテイ</t>
    </rPh>
    <phoneticPr fontId="1"/>
  </si>
  <si>
    <t>当たり判定の取り方</t>
    <rPh sb="0" eb="1">
      <t>ア</t>
    </rPh>
    <rPh sb="3" eb="5">
      <t>ハンテイ</t>
    </rPh>
    <rPh sb="6" eb="7">
      <t>ト</t>
    </rPh>
    <rPh sb="8" eb="9">
      <t>カタ</t>
    </rPh>
    <phoneticPr fontId="1"/>
  </si>
  <si>
    <t>①攻撃との当たり判定&amp;物体同士の当たり判定</t>
    <rPh sb="1" eb="3">
      <t>コウゲキ</t>
    </rPh>
    <rPh sb="5" eb="6">
      <t>ア</t>
    </rPh>
    <rPh sb="8" eb="10">
      <t>ハンテイ</t>
    </rPh>
    <rPh sb="11" eb="15">
      <t>ブッタイドウシ</t>
    </rPh>
    <rPh sb="16" eb="17">
      <t>ア</t>
    </rPh>
    <rPh sb="19" eb="21">
      <t>ハンテイ</t>
    </rPh>
    <phoneticPr fontId="1"/>
  </si>
  <si>
    <t>②地形とのポリゴンとの当たり判定</t>
    <rPh sb="1" eb="3">
      <t>チケイ</t>
    </rPh>
    <rPh sb="11" eb="12">
      <t>ア</t>
    </rPh>
    <rPh sb="14" eb="16">
      <t>ハンテイ</t>
    </rPh>
    <phoneticPr fontId="1"/>
  </si>
  <si>
    <t>Set前に未来予測型の当たり判定をする</t>
    <rPh sb="3" eb="4">
      <t>マエ</t>
    </rPh>
    <rPh sb="5" eb="10">
      <t>ミライヨソクガタ</t>
    </rPh>
    <rPh sb="11" eb="12">
      <t>ア</t>
    </rPh>
    <rPh sb="14" eb="16">
      <t>ハンテイ</t>
    </rPh>
    <phoneticPr fontId="1"/>
  </si>
  <si>
    <t>(井上恋のプロジェクト参照)</t>
    <rPh sb="1" eb="3">
      <t>イノウエ</t>
    </rPh>
    <rPh sb="3" eb="4">
      <t>レン</t>
    </rPh>
    <rPh sb="11" eb="13">
      <t>サンショウ</t>
    </rPh>
    <phoneticPr fontId="1"/>
  </si>
  <si>
    <t>attack中の移動制限完了,PlayerStateParryのかけらを作った。次は、DashAttackを作ろうかなぁ。当たり判定を先にやってもいい</t>
    <rPh sb="6" eb="7">
      <t>チュウ</t>
    </rPh>
    <rPh sb="8" eb="12">
      <t>イドウセイゲン</t>
    </rPh>
    <rPh sb="12" eb="14">
      <t>カンリョウ</t>
    </rPh>
    <rPh sb="36" eb="37">
      <t>ツク</t>
    </rPh>
    <rPh sb="40" eb="41">
      <t>ツギ</t>
    </rPh>
    <rPh sb="54" eb="55">
      <t>ツク</t>
    </rPh>
    <rPh sb="61" eb="62">
      <t>ア</t>
    </rPh>
    <rPh sb="64" eb="66">
      <t>ハンテイ</t>
    </rPh>
    <rPh sb="67" eb="68">
      <t>サキ</t>
    </rPh>
    <phoneticPr fontId="1"/>
  </si>
  <si>
    <t>Enemyも作り始めたいけどさすがにPlayerがいろいろ終わった後かな</t>
    <rPh sb="6" eb="7">
      <t>ツク</t>
    </rPh>
    <rPh sb="8" eb="9">
      <t>ハジ</t>
    </rPh>
    <rPh sb="29" eb="30">
      <t>オ</t>
    </rPh>
    <rPh sb="33" eb="34">
      <t>アト</t>
    </rPh>
    <phoneticPr fontId="1"/>
  </si>
  <si>
    <t>アイドル</t>
    <phoneticPr fontId="1"/>
  </si>
  <si>
    <t>移動</t>
    <rPh sb="0" eb="2">
      <t>イドウ</t>
    </rPh>
    <phoneticPr fontId="1"/>
  </si>
  <si>
    <t>ジャンプ</t>
    <phoneticPr fontId="1"/>
  </si>
  <si>
    <t>回避</t>
    <rPh sb="0" eb="2">
      <t>カイヒ</t>
    </rPh>
    <phoneticPr fontId="1"/>
  </si>
  <si>
    <t>攻撃コンボノード</t>
    <rPh sb="0" eb="2">
      <t>コウゲキ</t>
    </rPh>
    <phoneticPr fontId="1"/>
  </si>
  <si>
    <t>弱5段</t>
    <rPh sb="0" eb="1">
      <t>ジャク</t>
    </rPh>
    <rPh sb="2" eb="3">
      <t>ダン</t>
    </rPh>
    <phoneticPr fontId="1"/>
  </si>
  <si>
    <t>強2段</t>
    <rPh sb="0" eb="1">
      <t>キョウ</t>
    </rPh>
    <rPh sb="2" eb="3">
      <t>ダン</t>
    </rPh>
    <phoneticPr fontId="1"/>
  </si>
  <si>
    <t>空中強攻撃1段</t>
    <rPh sb="0" eb="2">
      <t>クウチュウ</t>
    </rPh>
    <rPh sb="2" eb="5">
      <t>キョウコウゲキ</t>
    </rPh>
    <rPh sb="6" eb="7">
      <t>ダン</t>
    </rPh>
    <phoneticPr fontId="1"/>
  </si>
  <si>
    <t>連携攻撃２種</t>
    <rPh sb="0" eb="4">
      <t>レンケイコウゲキ</t>
    </rPh>
    <rPh sb="5" eb="6">
      <t>シュ</t>
    </rPh>
    <phoneticPr fontId="1"/>
  </si>
  <si>
    <t>いずな落とし</t>
    <rPh sb="3" eb="4">
      <t>オ</t>
    </rPh>
    <phoneticPr fontId="1"/>
  </si>
  <si>
    <t>2種</t>
    <rPh sb="1" eb="2">
      <t>シュ</t>
    </rPh>
    <phoneticPr fontId="1"/>
  </si>
  <si>
    <t>雑魚</t>
    <rPh sb="0" eb="2">
      <t>ザコ</t>
    </rPh>
    <phoneticPr fontId="1"/>
  </si>
  <si>
    <t>通常</t>
    <rPh sb="0" eb="2">
      <t>ツウジョウ</t>
    </rPh>
    <phoneticPr fontId="1"/>
  </si>
  <si>
    <t>ちょっと強い敵</t>
    <rPh sb="4" eb="5">
      <t>ツヨ</t>
    </rPh>
    <rPh sb="6" eb="7">
      <t>テキ</t>
    </rPh>
    <phoneticPr fontId="1"/>
  </si>
  <si>
    <t>1種</t>
    <rPh sb="1" eb="2">
      <t>シュ</t>
    </rPh>
    <phoneticPr fontId="1"/>
  </si>
  <si>
    <t>大ボス</t>
    <rPh sb="0" eb="1">
      <t>オオ</t>
    </rPh>
    <phoneticPr fontId="1"/>
  </si>
  <si>
    <t>中ボス</t>
    <rPh sb="0" eb="1">
      <t>チュウ</t>
    </rPh>
    <phoneticPr fontId="1"/>
  </si>
  <si>
    <t>X,Y,X,X,X,Y</t>
    <phoneticPr fontId="1"/>
  </si>
  <si>
    <t>短剣or剣持ち</t>
    <rPh sb="0" eb="2">
      <t>タンケン</t>
    </rPh>
    <rPh sb="4" eb="5">
      <t>ケン</t>
    </rPh>
    <rPh sb="5" eb="6">
      <t>モ</t>
    </rPh>
    <phoneticPr fontId="1"/>
  </si>
  <si>
    <t>空中攻撃</t>
    <rPh sb="0" eb="2">
      <t>クウチュウ</t>
    </rPh>
    <rPh sb="2" eb="4">
      <t>コウゲキ</t>
    </rPh>
    <phoneticPr fontId="1"/>
  </si>
  <si>
    <t>弱ボタン連携</t>
    <rPh sb="0" eb="1">
      <t>ジャク</t>
    </rPh>
    <rPh sb="4" eb="6">
      <t>レンケイ</t>
    </rPh>
    <phoneticPr fontId="1"/>
  </si>
  <si>
    <t>強ボタン連携</t>
    <rPh sb="0" eb="1">
      <t>キョウ</t>
    </rPh>
    <rPh sb="4" eb="6">
      <t>レンケイ</t>
    </rPh>
    <phoneticPr fontId="1"/>
  </si>
  <si>
    <t>攻撃仕様</t>
    <rPh sb="0" eb="2">
      <t>コウゲキ</t>
    </rPh>
    <rPh sb="2" eb="4">
      <t>シヨウ</t>
    </rPh>
    <phoneticPr fontId="1"/>
  </si>
  <si>
    <t>スキル技</t>
    <rPh sb="3" eb="4">
      <t>ワザ</t>
    </rPh>
    <phoneticPr fontId="1"/>
  </si>
  <si>
    <t>弱連携 2技</t>
    <rPh sb="0" eb="1">
      <t>ジャク</t>
    </rPh>
    <rPh sb="1" eb="3">
      <t>レンケイ</t>
    </rPh>
    <rPh sb="5" eb="6">
      <t>ワザ</t>
    </rPh>
    <phoneticPr fontId="1"/>
  </si>
  <si>
    <t>必殺技</t>
    <rPh sb="0" eb="3">
      <t>ヒッサツワザ</t>
    </rPh>
    <phoneticPr fontId="1"/>
  </si>
  <si>
    <t>強化状態</t>
    <rPh sb="0" eb="1">
      <t>キョウ</t>
    </rPh>
    <rPh sb="1" eb="2">
      <t>バ</t>
    </rPh>
    <rPh sb="2" eb="4">
      <t>ジョウタイ</t>
    </rPh>
    <phoneticPr fontId="1"/>
  </si>
  <si>
    <t>ため技で演出あり</t>
    <rPh sb="2" eb="3">
      <t>ワザ</t>
    </rPh>
    <rPh sb="4" eb="6">
      <t>エンシュツ</t>
    </rPh>
    <phoneticPr fontId="1"/>
  </si>
  <si>
    <t>連携技でするかは考え中</t>
    <rPh sb="0" eb="2">
      <t>レンケイ</t>
    </rPh>
    <rPh sb="2" eb="3">
      <t>ワザ</t>
    </rPh>
    <rPh sb="8" eb="9">
      <t>カンガ</t>
    </rPh>
    <rPh sb="10" eb="11">
      <t>チュウ</t>
    </rPh>
    <phoneticPr fontId="1"/>
  </si>
  <si>
    <t>溜めモードはするか悩み</t>
    <rPh sb="0" eb="1">
      <t>タ</t>
    </rPh>
    <rPh sb="9" eb="10">
      <t>ナヤ</t>
    </rPh>
    <phoneticPr fontId="1"/>
  </si>
  <si>
    <t>弱の横一閃</t>
    <rPh sb="0" eb="1">
      <t>ジャク</t>
    </rPh>
    <rPh sb="2" eb="3">
      <t>ヨコ</t>
    </rPh>
    <rPh sb="3" eb="5">
      <t>イッセン</t>
    </rPh>
    <phoneticPr fontId="1"/>
  </si>
  <si>
    <t>空中</t>
    <rPh sb="0" eb="2">
      <t>クウチュウ</t>
    </rPh>
    <phoneticPr fontId="1"/>
  </si>
  <si>
    <t>X,X,X,Y</t>
    <phoneticPr fontId="1"/>
  </si>
  <si>
    <t>X,X,Y</t>
    <phoneticPr fontId="1"/>
  </si>
  <si>
    <t>X,Y</t>
    <phoneticPr fontId="1"/>
  </si>
  <si>
    <t>Y</t>
    <phoneticPr fontId="1"/>
  </si>
  <si>
    <t>空中で敵がいなかったら敵の方向に追従する</t>
    <rPh sb="0" eb="2">
      <t>クウチュウ</t>
    </rPh>
    <rPh sb="3" eb="4">
      <t>テキ</t>
    </rPh>
    <rPh sb="11" eb="12">
      <t>テキ</t>
    </rPh>
    <rPh sb="13" eb="15">
      <t>ホウコウ</t>
    </rPh>
    <rPh sb="16" eb="18">
      <t>ツイジュウ</t>
    </rPh>
    <phoneticPr fontId="1"/>
  </si>
  <si>
    <t>TODO:NEXT</t>
    <phoneticPr fontId="1"/>
  </si>
  <si>
    <t>【血殺について】</t>
    <rPh sb="1" eb="2">
      <t>チ</t>
    </rPh>
    <rPh sb="2" eb="3">
      <t>サツ</t>
    </rPh>
    <phoneticPr fontId="1"/>
  </si>
  <si>
    <t>レンダリングを分けてシェーダーする</t>
    <rPh sb="7" eb="8">
      <t>ワ</t>
    </rPh>
    <phoneticPr fontId="1"/>
  </si>
  <si>
    <t>①背景</t>
    <rPh sb="1" eb="3">
      <t>ハイケイ</t>
    </rPh>
    <phoneticPr fontId="1"/>
  </si>
  <si>
    <t>②文字を描画</t>
    <rPh sb="0" eb="3">
      <t>2モジ</t>
    </rPh>
    <rPh sb="4" eb="6">
      <t>ビョウガ</t>
    </rPh>
    <phoneticPr fontId="1"/>
  </si>
  <si>
    <t>③キャラクターを表示</t>
    <rPh sb="8" eb="10">
      <t>ヒョウジ</t>
    </rPh>
    <phoneticPr fontId="1"/>
  </si>
  <si>
    <t>※エフェクトは白色に表示</t>
    <rPh sb="7" eb="9">
      <t>シロイロ</t>
    </rPh>
    <rPh sb="10" eb="12">
      <t>ヒョウジ</t>
    </rPh>
    <phoneticPr fontId="1"/>
  </si>
  <si>
    <t>dxLibをForEffeckseerにしないといけない</t>
    <phoneticPr fontId="1"/>
  </si>
  <si>
    <t>空中攻撃4段</t>
    <rPh sb="0" eb="2">
      <t>クウチュウ</t>
    </rPh>
    <rPh sb="2" eb="4">
      <t>コウゲキ</t>
    </rPh>
    <rPh sb="5" eb="6">
      <t>ダン</t>
    </rPh>
    <phoneticPr fontId="1"/>
  </si>
  <si>
    <t>X,X,X,X</t>
    <phoneticPr fontId="1"/>
  </si>
  <si>
    <t>いずなおとし</t>
    <phoneticPr fontId="1"/>
  </si>
  <si>
    <t>砲台</t>
    <rPh sb="0" eb="2">
      <t>ホウダイ</t>
    </rPh>
    <phoneticPr fontId="1"/>
  </si>
  <si>
    <t>空中で攻撃を行ったら、カメラが前に近づく</t>
    <rPh sb="0" eb="2">
      <t>クウチュウ</t>
    </rPh>
    <rPh sb="3" eb="5">
      <t>コウゲキ</t>
    </rPh>
    <rPh sb="6" eb="7">
      <t>オコナ</t>
    </rPh>
    <rPh sb="15" eb="16">
      <t>マエ</t>
    </rPh>
    <rPh sb="17" eb="18">
      <t>チカ</t>
    </rPh>
    <phoneticPr fontId="1"/>
  </si>
  <si>
    <t>攻撃を行ったら、カメラが斜め方向になる</t>
    <rPh sb="0" eb="2">
      <t>コウゲキ</t>
    </rPh>
    <rPh sb="3" eb="4">
      <t>イ</t>
    </rPh>
    <rPh sb="12" eb="13">
      <t>ナナ</t>
    </rPh>
    <rPh sb="14" eb="16">
      <t>ホウコウ</t>
    </rPh>
    <phoneticPr fontId="1"/>
  </si>
  <si>
    <t>基本的に弱攻撃からの強攻撃は空中攻撃を派生</t>
    <rPh sb="0" eb="3">
      <t>キホンテキ</t>
    </rPh>
    <rPh sb="4" eb="7">
      <t>ジャクコウゲキ</t>
    </rPh>
    <rPh sb="10" eb="11">
      <t>キョウ</t>
    </rPh>
    <rPh sb="11" eb="13">
      <t>コウゲキ</t>
    </rPh>
    <rPh sb="14" eb="16">
      <t>クウチュウ</t>
    </rPh>
    <rPh sb="16" eb="18">
      <t>コウゲキ</t>
    </rPh>
    <rPh sb="19" eb="21">
      <t>ハセイ</t>
    </rPh>
    <phoneticPr fontId="1"/>
  </si>
  <si>
    <t>2段目、3段目、4段目時切り上げ</t>
    <rPh sb="1" eb="3">
      <t>ダンメ</t>
    </rPh>
    <rPh sb="5" eb="7">
      <t>ダンメ</t>
    </rPh>
    <rPh sb="9" eb="11">
      <t>ダンメ</t>
    </rPh>
    <rPh sb="11" eb="12">
      <t>ジ</t>
    </rPh>
    <rPh sb="12" eb="13">
      <t>キ</t>
    </rPh>
    <rPh sb="14" eb="15">
      <t>ア</t>
    </rPh>
    <phoneticPr fontId="1"/>
  </si>
  <si>
    <t>カメラを攻撃切り上げ時に空中にカメラが行くようにする</t>
    <rPh sb="4" eb="6">
      <t>コウゲキ</t>
    </rPh>
    <rPh sb="6" eb="7">
      <t>キ</t>
    </rPh>
    <rPh sb="8" eb="9">
      <t>ア</t>
    </rPh>
    <rPh sb="10" eb="11">
      <t>ジ</t>
    </rPh>
    <rPh sb="12" eb="14">
      <t>クウチュウ</t>
    </rPh>
    <rPh sb="19" eb="20">
      <t>イ</t>
    </rPh>
    <phoneticPr fontId="1"/>
  </si>
  <si>
    <t>CG要望</t>
    <rPh sb="2" eb="4">
      <t>ヨウボウ</t>
    </rPh>
    <phoneticPr fontId="1"/>
  </si>
  <si>
    <t>地上5段</t>
    <rPh sb="0" eb="2">
      <t>チジョウ</t>
    </rPh>
    <rPh sb="3" eb="4">
      <t>ダン</t>
    </rPh>
    <phoneticPr fontId="1"/>
  </si>
  <si>
    <t>スキル3段攻撃</t>
    <rPh sb="4" eb="5">
      <t>ダン</t>
    </rPh>
    <rPh sb="5" eb="7">
      <t>コウゲキ</t>
    </rPh>
    <phoneticPr fontId="1"/>
  </si>
  <si>
    <t>空中は触ってみる</t>
    <rPh sb="0" eb="2">
      <t>クウチュウ</t>
    </rPh>
    <rPh sb="3" eb="4">
      <t>サワ</t>
    </rPh>
    <phoneticPr fontId="1"/>
  </si>
  <si>
    <t>スキル強攻撃（一旦一つ）</t>
    <rPh sb="3" eb="6">
      <t>キョウコウゲキ</t>
    </rPh>
    <rPh sb="7" eb="10">
      <t>イッタンヒト</t>
    </rPh>
    <phoneticPr fontId="1"/>
  </si>
  <si>
    <t>敵の仕様書</t>
    <rPh sb="0" eb="1">
      <t>テキ</t>
    </rPh>
    <rPh sb="2" eb="5">
      <t>シヨウショ</t>
    </rPh>
    <phoneticPr fontId="1"/>
  </si>
  <si>
    <t>playerの仕様書</t>
    <rPh sb="7" eb="10">
      <t>シヨウショ</t>
    </rPh>
    <phoneticPr fontId="1"/>
  </si>
  <si>
    <t>忍者外電4　敵キャラ         攻撃種</t>
  </si>
  <si>
    <t>・龍神党尖兵(大砲)</t>
  </si>
  <si>
    <t>技1つ</t>
  </si>
  <si>
    <t>・龍神党尖兵(なぎなた)　　　薙刀分回し(4連攻撃)、牙突攻撃(重め)</t>
  </si>
  <si>
    <t>・龍神党尖兵(飛行)</t>
  </si>
  <si>
    <t>・・龍神党兵長(銃)</t>
  </si>
  <si>
    <t>・・龍神党兵長(手裏剣)</t>
  </si>
  <si>
    <t>・飛天狗(銭杖)　　　　　　鎌の２連攻撃、空を飛ぶ</t>
  </si>
  <si>
    <t>・飛天狗(扇)</t>
  </si>
  <si>
    <t>遠距離キャラ、中身は銃と一緒</t>
  </si>
  <si>
    <t>・大飛天狗</t>
  </si>
  <si>
    <t>近距離6連撃、2連撃、牙突など龍神党兵長に似た感じ</t>
  </si>
  <si>
    <t>・童子(鉈)　　　</t>
  </si>
  <si>
    <t>4パターンぐらい、全部近接、3コンボ(蹴り飛ばし)、6コンボなど</t>
  </si>
  <si>
    <t>・童子(刀)</t>
  </si>
  <si>
    <t>大剣を持っている、大ぶりな攻撃がおおい</t>
  </si>
  <si>
    <t>・龍神党尖兵(刀)　　　　　　2,4種ぐらい</t>
    <phoneticPr fontId="1"/>
  </si>
  <si>
    <t>龍神党尖兵(刀)　</t>
  </si>
  <si>
    <t>・雑魚敵</t>
    <rPh sb="1" eb="4">
      <t>ザコテキ</t>
    </rPh>
    <phoneticPr fontId="1"/>
  </si>
  <si>
    <t>・中ボス</t>
    <rPh sb="1" eb="2">
      <t>チュウ</t>
    </rPh>
    <phoneticPr fontId="1"/>
  </si>
  <si>
    <t>・ちょっと強い敵</t>
    <rPh sb="5" eb="6">
      <t>ツヨ</t>
    </rPh>
    <rPh sb="7" eb="8">
      <t>テキ</t>
    </rPh>
    <phoneticPr fontId="1"/>
  </si>
  <si>
    <t>童子</t>
    <rPh sb="0" eb="1">
      <t>ワラベ</t>
    </rPh>
    <rPh sb="1" eb="2">
      <t>コ</t>
    </rPh>
    <phoneticPr fontId="1"/>
  </si>
  <si>
    <t>・龍神党兵長(刀)　</t>
    <phoneticPr fontId="1"/>
  </si>
  <si>
    <t>　　遠距離技、近距離技2種(1combo,3comboの剣)</t>
    <phoneticPr fontId="1"/>
  </si>
  <si>
    <t>龍神党兵長(刀)　</t>
  </si>
  <si>
    <t>ボス</t>
    <phoneticPr fontId="1"/>
  </si>
  <si>
    <t>1-1のボス</t>
    <phoneticPr fontId="1"/>
  </si>
  <si>
    <t>・龍神党尖兵(銃)　　　　　　2種、近距離技一つと銃技1つ</t>
    <phoneticPr fontId="1"/>
  </si>
  <si>
    <t>龍神党尖兵(銃)　</t>
  </si>
  <si>
    <t>S</t>
    <phoneticPr fontId="1"/>
  </si>
  <si>
    <t>A</t>
    <phoneticPr fontId="1"/>
  </si>
  <si>
    <t>B</t>
    <phoneticPr fontId="1"/>
  </si>
  <si>
    <t>EnemyBase</t>
    <phoneticPr fontId="1"/>
  </si>
  <si>
    <t>警戒態勢</t>
    <rPh sb="0" eb="4">
      <t>ケイカイタイセイ</t>
    </rPh>
    <phoneticPr fontId="1"/>
  </si>
  <si>
    <t>Enemy１</t>
    <phoneticPr fontId="1"/>
  </si>
  <si>
    <t>距離とり</t>
    <rPh sb="0" eb="2">
      <t>キョリ</t>
    </rPh>
    <phoneticPr fontId="1"/>
  </si>
  <si>
    <t>Enemy2</t>
    <phoneticPr fontId="1"/>
  </si>
  <si>
    <t>遠距離攻撃</t>
    <rPh sb="0" eb="5">
      <t>エンキョリコウゲキ</t>
    </rPh>
    <phoneticPr fontId="1"/>
  </si>
  <si>
    <t>近距離攻撃</t>
    <rPh sb="0" eb="3">
      <t>キンキョリ</t>
    </rPh>
    <rPh sb="3" eb="5">
      <t>コウゲキ</t>
    </rPh>
    <phoneticPr fontId="1"/>
  </si>
  <si>
    <t>Enemy3</t>
    <phoneticPr fontId="1"/>
  </si>
  <si>
    <t>近距離攻撃</t>
    <rPh sb="0" eb="5">
      <t>キンキョリコウゲキ</t>
    </rPh>
    <phoneticPr fontId="1"/>
  </si>
  <si>
    <t>pに近づく</t>
    <rPh sb="2" eb="3">
      <t>チカ</t>
    </rPh>
    <phoneticPr fontId="1"/>
  </si>
  <si>
    <t>追いかける</t>
    <rPh sb="0" eb="1">
      <t>オ</t>
    </rPh>
    <phoneticPr fontId="1"/>
  </si>
  <si>
    <t>ばくすて</t>
    <phoneticPr fontId="1"/>
  </si>
  <si>
    <t>攻撃→ばくすて</t>
    <rPh sb="0" eb="2">
      <t>コウゲキ</t>
    </rPh>
    <phoneticPr fontId="1"/>
  </si>
  <si>
    <t>おいかける→攻撃</t>
    <rPh sb="6" eb="8">
      <t>コウゲキ</t>
    </rPh>
    <phoneticPr fontId="1"/>
  </si>
  <si>
    <t>警戒→攻撃or追いかける</t>
    <rPh sb="0" eb="2">
      <t>ケイカイ</t>
    </rPh>
    <rPh sb="3" eb="5">
      <t>コウゲキ</t>
    </rPh>
    <rPh sb="7" eb="8">
      <t>オ</t>
    </rPh>
    <phoneticPr fontId="1"/>
  </si>
  <si>
    <t>攻撃後、硬直あり</t>
    <rPh sb="0" eb="2">
      <t>コウゲキ</t>
    </rPh>
    <rPh sb="2" eb="3">
      <t>ゴ</t>
    </rPh>
    <rPh sb="4" eb="6">
      <t>コウチョク</t>
    </rPh>
    <phoneticPr fontId="1"/>
  </si>
  <si>
    <t>アイドル→</t>
    <phoneticPr fontId="1"/>
  </si>
  <si>
    <t>攻撃、警戒、バクステ、警戒のランダム</t>
    <rPh sb="0" eb="2">
      <t>コウゲキ</t>
    </rPh>
    <rPh sb="3" eb="5">
      <t>ケイカイ</t>
    </rPh>
    <rPh sb="11" eb="13">
      <t>ケイカイ</t>
    </rPh>
    <phoneticPr fontId="1"/>
  </si>
  <si>
    <t>攻撃のノックバックにXZ方面(正面)、Y軸(上方向)の二つを用意、それで切り上げ攻撃、切り下げ攻撃などを対応する</t>
    <rPh sb="0" eb="2">
      <t>コウゲキ</t>
    </rPh>
    <rPh sb="12" eb="14">
      <t>ホウメン</t>
    </rPh>
    <rPh sb="15" eb="17">
      <t>ショウメン</t>
    </rPh>
    <rPh sb="20" eb="21">
      <t>ジク</t>
    </rPh>
    <rPh sb="22" eb="25">
      <t>ウエホウコウ</t>
    </rPh>
    <rPh sb="27" eb="28">
      <t>フタ</t>
    </rPh>
    <rPh sb="30" eb="32">
      <t>ヨウイ</t>
    </rPh>
    <rPh sb="36" eb="37">
      <t>キ</t>
    </rPh>
    <rPh sb="38" eb="39">
      <t>ア</t>
    </rPh>
    <rPh sb="40" eb="42">
      <t>コウゲキ</t>
    </rPh>
    <rPh sb="43" eb="44">
      <t>キ</t>
    </rPh>
    <rPh sb="52" eb="54">
      <t>タイオウ</t>
    </rPh>
    <phoneticPr fontId="1"/>
  </si>
  <si>
    <t>攻撃のデータ</t>
    <rPh sb="0" eb="2">
      <t>コウゲキ</t>
    </rPh>
    <phoneticPr fontId="1"/>
  </si>
  <si>
    <t>攻撃力</t>
    <rPh sb="0" eb="3">
      <t>コウゲキリョク</t>
    </rPh>
    <phoneticPr fontId="1"/>
  </si>
  <si>
    <t>ノックバック</t>
    <phoneticPr fontId="1"/>
  </si>
  <si>
    <t>敵との当たり判定をする</t>
    <rPh sb="0" eb="1">
      <t>テキ</t>
    </rPh>
    <rPh sb="3" eb="4">
      <t>ア</t>
    </rPh>
    <rPh sb="6" eb="8">
      <t>ハンテイ</t>
    </rPh>
    <phoneticPr fontId="1"/>
  </si>
  <si>
    <t>スキル、必殺技の演出を先にする</t>
    <rPh sb="4" eb="7">
      <t>ヒッサツワザ</t>
    </rPh>
    <rPh sb="8" eb="10">
      <t>エンシュツ</t>
    </rPh>
    <rPh sb="11" eb="12">
      <t>サキ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</si>
</sst>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7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b/>
      <sz val="11"/>
      <color theme="0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theme="5" tint="0.59999389629810485"/>
      <name val="Yu Gothic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198E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CC6600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>
      <alignment vertical="center"/>
    </xf>
  </cellStyleXfs>
  <cellXfs count="50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5" borderId="1" xfId="0" applyFill="1" applyBorder="1"/>
    <xf numFmtId="0" fontId="0" fillId="7" borderId="1" xfId="0" applyFill="1" applyBorder="1"/>
    <xf numFmtId="0" fontId="0" fillId="6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4" borderId="1" xfId="0" applyFill="1" applyBorder="1"/>
    <xf numFmtId="0" fontId="0" fillId="10" borderId="2" xfId="0" applyFill="1" applyBorder="1"/>
    <xf numFmtId="0" fontId="0" fillId="0" borderId="2" xfId="0" applyBorder="1"/>
    <xf numFmtId="0" fontId="3" fillId="4" borderId="2" xfId="0" applyFont="1" applyFill="1" applyBorder="1"/>
    <xf numFmtId="0" fontId="0" fillId="11" borderId="2" xfId="0" applyFill="1" applyBorder="1"/>
    <xf numFmtId="0" fontId="4" fillId="12" borderId="2" xfId="0" applyFont="1" applyFill="1" applyBorder="1"/>
    <xf numFmtId="0" fontId="4" fillId="12" borderId="2" xfId="0" applyFont="1" applyFill="1" applyBorder="1" applyAlignment="1">
      <alignment horizontal="center" vertical="center"/>
    </xf>
    <xf numFmtId="0" fontId="0" fillId="10" borderId="2" xfId="0" applyFill="1" applyBorder="1" applyAlignment="1">
      <alignment horizontal="center" vertical="center"/>
    </xf>
    <xf numFmtId="0" fontId="0" fillId="13" borderId="2" xfId="0" applyFill="1" applyBorder="1"/>
    <xf numFmtId="0" fontId="0" fillId="14" borderId="2" xfId="0" applyFill="1" applyBorder="1"/>
    <xf numFmtId="0" fontId="0" fillId="7" borderId="2" xfId="0" applyFill="1" applyBorder="1"/>
    <xf numFmtId="0" fontId="0" fillId="15" borderId="2" xfId="0" applyFill="1" applyBorder="1"/>
    <xf numFmtId="0" fontId="0" fillId="17" borderId="2" xfId="0" applyFill="1" applyBorder="1"/>
    <xf numFmtId="0" fontId="0" fillId="18" borderId="2" xfId="0" applyFill="1" applyBorder="1"/>
    <xf numFmtId="0" fontId="0" fillId="19" borderId="2" xfId="0" applyFill="1" applyBorder="1"/>
    <xf numFmtId="56" fontId="0" fillId="0" borderId="2" xfId="0" applyNumberFormat="1" applyBorder="1"/>
    <xf numFmtId="0" fontId="2" fillId="10" borderId="2" xfId="0" applyFont="1" applyFill="1" applyBorder="1" applyAlignment="1">
      <alignment horizontal="center" vertical="center"/>
    </xf>
    <xf numFmtId="0" fontId="2" fillId="20" borderId="2" xfId="0" applyFont="1" applyFill="1" applyBorder="1"/>
    <xf numFmtId="0" fontId="2" fillId="21" borderId="2" xfId="0" applyFont="1" applyFill="1" applyBorder="1"/>
    <xf numFmtId="0" fontId="2" fillId="16" borderId="2" xfId="0" applyFont="1" applyFill="1" applyBorder="1"/>
    <xf numFmtId="0" fontId="0" fillId="10" borderId="2" xfId="1" applyNumberFormat="1" applyFont="1" applyFill="1" applyBorder="1" applyAlignment="1"/>
    <xf numFmtId="0" fontId="0" fillId="3" borderId="2" xfId="0" applyFill="1" applyBorder="1"/>
    <xf numFmtId="0" fontId="0" fillId="2" borderId="2" xfId="0" applyFill="1" applyBorder="1"/>
    <xf numFmtId="0" fontId="0" fillId="10" borderId="0" xfId="0" applyFill="1"/>
    <xf numFmtId="0" fontId="6" fillId="8" borderId="2" xfId="0" applyFont="1" applyFill="1" applyBorder="1"/>
    <xf numFmtId="0" fontId="0" fillId="22" borderId="2" xfId="0" applyFill="1" applyBorder="1"/>
    <xf numFmtId="0" fontId="0" fillId="3" borderId="0" xfId="0" applyFill="1"/>
    <xf numFmtId="0" fontId="0" fillId="22" borderId="0" xfId="0" applyFill="1"/>
    <xf numFmtId="0" fontId="0" fillId="16" borderId="2" xfId="0" applyFill="1" applyBorder="1"/>
    <xf numFmtId="0" fontId="0" fillId="23" borderId="2" xfId="0" applyFill="1" applyBorder="1"/>
    <xf numFmtId="0" fontId="0" fillId="24" borderId="2" xfId="0" applyFill="1" applyBorder="1"/>
    <xf numFmtId="0" fontId="0" fillId="25" borderId="0" xfId="0" applyFill="1"/>
    <xf numFmtId="0" fontId="0" fillId="26" borderId="0" xfId="0" applyFill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colors>
    <mruColors>
      <color rgb="FF33CCFF"/>
      <color rgb="FF99FF33"/>
      <color rgb="FFFFFFCC"/>
      <color rgb="FF9933FF"/>
      <color rgb="FFFF3300"/>
      <color rgb="FFCC9900"/>
      <color rgb="FFFF99CC"/>
      <color rgb="FF0099CC"/>
      <color rgb="FFCC6600"/>
      <color rgb="FFC198E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247649</xdr:colOff>
      <xdr:row>2</xdr:row>
      <xdr:rowOff>57150</xdr:rowOff>
    </xdr:from>
    <xdr:to>
      <xdr:col>24</xdr:col>
      <xdr:colOff>238125</xdr:colOff>
      <xdr:row>12</xdr:row>
      <xdr:rowOff>28575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9976968F-90B1-9BAB-F8D7-355380CE457D}"/>
            </a:ext>
          </a:extLst>
        </xdr:cNvPr>
        <xdr:cNvSpPr/>
      </xdr:nvSpPr>
      <xdr:spPr>
        <a:xfrm>
          <a:off x="1504949" y="533400"/>
          <a:ext cx="6276976" cy="235267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AttackBase</a:t>
          </a:r>
        </a:p>
        <a:p>
          <a:pPr algn="l"/>
          <a:r>
            <a:rPr kumimoji="1" lang="ja-JP" altLang="en-US" sz="1100"/>
            <a:t>当たった敵のリスト</a:t>
          </a:r>
          <a:r>
            <a:rPr kumimoji="1" lang="en-US" altLang="ja-JP" sz="1100"/>
            <a:t>(Collidable)</a:t>
          </a:r>
        </a:p>
        <a:p>
          <a:pPr algn="l"/>
          <a:r>
            <a:rPr kumimoji="1" lang="ja-JP" altLang="en-US" sz="1100"/>
            <a:t>攻撃のノックバック距離、攻撃力←プレイヤーの</a:t>
          </a:r>
          <a:r>
            <a:rPr kumimoji="1" lang="en-US" altLang="ja-JP" sz="1100"/>
            <a:t>AttackData</a:t>
          </a:r>
          <a:r>
            <a:rPr kumimoji="1" lang="ja-JP" altLang="en-US" sz="1100"/>
            <a:t>から渡す、敵もどっかから渡す</a:t>
          </a:r>
          <a:endParaRPr kumimoji="1" lang="en-US" altLang="ja-JP" sz="1100"/>
        </a:p>
        <a:p>
          <a:pPr algn="l"/>
          <a:r>
            <a:rPr kumimoji="1" lang="ja-JP" altLang="en-US" sz="1100"/>
            <a:t>生存時間などは迷い</a:t>
          </a:r>
          <a:br>
            <a:rPr kumimoji="1" lang="en-US" altLang="ja-JP" sz="1100"/>
          </a:br>
          <a:r>
            <a:rPr kumimoji="1" lang="ja-JP" altLang="en-US" sz="1100"/>
            <a:t>そもそもこれ一個でよさそう</a:t>
          </a:r>
          <a:endParaRPr kumimoji="1" lang="en-US" altLang="ja-JP" sz="1100"/>
        </a:p>
        <a:p>
          <a:pPr algn="l"/>
          <a:endParaRPr kumimoji="1" lang="en-US" altLang="ja-JP" sz="1100"/>
        </a:p>
        <a:p>
          <a:pPr algn="l"/>
          <a:endParaRPr kumimoji="1" lang="en-US" altLang="ja-JP" sz="1100"/>
        </a:p>
        <a:p>
          <a:pPr algn="l"/>
          <a:endParaRPr kumimoji="1" lang="en-US" altLang="ja-JP" sz="1100"/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152400</xdr:colOff>
      <xdr:row>15</xdr:row>
      <xdr:rowOff>152400</xdr:rowOff>
    </xdr:from>
    <xdr:to>
      <xdr:col>9</xdr:col>
      <xdr:colOff>238125</xdr:colOff>
      <xdr:row>23</xdr:row>
      <xdr:rowOff>200025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955567FC-79AE-9F46-5366-81F2ADE8CAEF}"/>
            </a:ext>
          </a:extLst>
        </xdr:cNvPr>
        <xdr:cNvSpPr/>
      </xdr:nvSpPr>
      <xdr:spPr>
        <a:xfrm>
          <a:off x="1095375" y="3724275"/>
          <a:ext cx="1971675" cy="1952625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PlayerAttack</a:t>
          </a:r>
          <a:br>
            <a:rPr kumimoji="1" lang="en-US" altLang="ja-JP" sz="1100"/>
          </a:br>
          <a:br>
            <a:rPr kumimoji="1" lang="en-US" altLang="ja-JP" sz="1100"/>
          </a:br>
          <a:r>
            <a:rPr kumimoji="1" lang="ja-JP" altLang="en-US" sz="1100"/>
            <a:t>具体的なデータをもらう</a:t>
          </a:r>
          <a:endParaRPr kumimoji="1" lang="en-US" altLang="ja-JP" sz="1100"/>
        </a:p>
        <a:p>
          <a:pPr algn="l"/>
          <a:r>
            <a:rPr kumimoji="1" lang="ja-JP" altLang="en-US" sz="1100"/>
            <a:t>生存時間をきめる</a:t>
          </a:r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195263</xdr:colOff>
      <xdr:row>12</xdr:row>
      <xdr:rowOff>28575</xdr:rowOff>
    </xdr:from>
    <xdr:to>
      <xdr:col>14</xdr:col>
      <xdr:colOff>242887</xdr:colOff>
      <xdr:row>15</xdr:row>
      <xdr:rowOff>152400</xdr:rowOff>
    </xdr:to>
    <xdr:cxnSp macro="">
      <xdr:nvCxnSpPr>
        <xdr:cNvPr id="5" name="直線矢印コネクタ 4">
          <a:extLst>
            <a:ext uri="{FF2B5EF4-FFF2-40B4-BE49-F238E27FC236}">
              <a16:creationId xmlns:a16="http://schemas.microsoft.com/office/drawing/2014/main" id="{A033F718-35BA-3752-3F6E-75AFBC861E49}"/>
            </a:ext>
          </a:extLst>
        </xdr:cNvPr>
        <xdr:cNvCxnSpPr>
          <a:stCxn id="2" idx="2"/>
          <a:endCxn id="3" idx="0"/>
        </xdr:cNvCxnSpPr>
      </xdr:nvCxnSpPr>
      <xdr:spPr>
        <a:xfrm flipH="1">
          <a:off x="2081213" y="2886075"/>
          <a:ext cx="2562224" cy="8382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190500</xdr:colOff>
      <xdr:row>15</xdr:row>
      <xdr:rowOff>133350</xdr:rowOff>
    </xdr:from>
    <xdr:to>
      <xdr:col>24</xdr:col>
      <xdr:colOff>276225</xdr:colOff>
      <xdr:row>23</xdr:row>
      <xdr:rowOff>180975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2543105A-5D70-964E-0AD0-C2362A7E31F6}"/>
            </a:ext>
          </a:extLst>
        </xdr:cNvPr>
        <xdr:cNvSpPr/>
      </xdr:nvSpPr>
      <xdr:spPr>
        <a:xfrm>
          <a:off x="5848350" y="3705225"/>
          <a:ext cx="1971675" cy="1952625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EnemyAttack</a:t>
          </a:r>
        </a:p>
        <a:p>
          <a:pPr algn="l"/>
          <a:endParaRPr kumimoji="1" lang="en-US" altLang="ja-JP" sz="1100"/>
        </a:p>
        <a:p>
          <a:pPr algn="l"/>
          <a:endParaRPr kumimoji="1" lang="en-US" altLang="ja-JP" sz="1100"/>
        </a:p>
        <a:p>
          <a:pPr algn="l"/>
          <a:r>
            <a:rPr kumimoji="1" lang="ja-JP" altLang="en-US" sz="1100"/>
            <a:t>具体的なデータをもらう</a:t>
          </a:r>
          <a:endParaRPr kumimoji="1" lang="en-US" altLang="ja-JP" sz="1100"/>
        </a:p>
        <a:p>
          <a:pPr algn="l"/>
          <a:r>
            <a:rPr kumimoji="1" lang="ja-JP" altLang="en-US" sz="1100"/>
            <a:t>生存時間をきめるスキル技</a:t>
          </a:r>
          <a:endParaRPr kumimoji="1" lang="en-US" altLang="ja-JP" sz="1100"/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14</xdr:col>
      <xdr:colOff>242887</xdr:colOff>
      <xdr:row>12</xdr:row>
      <xdr:rowOff>28575</xdr:rowOff>
    </xdr:from>
    <xdr:to>
      <xdr:col>21</xdr:col>
      <xdr:colOff>233363</xdr:colOff>
      <xdr:row>15</xdr:row>
      <xdr:rowOff>133350</xdr:rowOff>
    </xdr:to>
    <xdr:cxnSp macro="">
      <xdr:nvCxnSpPr>
        <xdr:cNvPr id="10" name="直線矢印コネクタ 9">
          <a:extLst>
            <a:ext uri="{FF2B5EF4-FFF2-40B4-BE49-F238E27FC236}">
              <a16:creationId xmlns:a16="http://schemas.microsoft.com/office/drawing/2014/main" id="{BA140AA9-2668-66D5-D88F-CBF290BF3D79}"/>
            </a:ext>
          </a:extLst>
        </xdr:cNvPr>
        <xdr:cNvCxnSpPr>
          <a:stCxn id="2" idx="2"/>
          <a:endCxn id="7" idx="0"/>
        </xdr:cNvCxnSpPr>
      </xdr:nvCxnSpPr>
      <xdr:spPr>
        <a:xfrm>
          <a:off x="4643437" y="2886075"/>
          <a:ext cx="2190751" cy="8191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272142</xdr:colOff>
      <xdr:row>13</xdr:row>
      <xdr:rowOff>149679</xdr:rowOff>
    </xdr:from>
    <xdr:to>
      <xdr:col>39</xdr:col>
      <xdr:colOff>13607</xdr:colOff>
      <xdr:row>19</xdr:row>
      <xdr:rowOff>95250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55C35913-0911-5F9E-CAC9-8CA6C39708E2}"/>
            </a:ext>
          </a:extLst>
        </xdr:cNvPr>
        <xdr:cNvSpPr/>
      </xdr:nvSpPr>
      <xdr:spPr>
        <a:xfrm>
          <a:off x="9974035" y="3333750"/>
          <a:ext cx="2245179" cy="1415143"/>
        </a:xfrm>
        <a:prstGeom prst="rec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100"/>
            <a:t>Character</a:t>
          </a:r>
          <a:endParaRPr kumimoji="1" lang="ja-JP" altLang="en-US" sz="1100"/>
        </a:p>
      </xdr:txBody>
    </xdr:sp>
    <xdr:clientData/>
  </xdr:twoCellAnchor>
  <xdr:twoCellAnchor>
    <xdr:from>
      <xdr:col>32</xdr:col>
      <xdr:colOff>97972</xdr:colOff>
      <xdr:row>25</xdr:row>
      <xdr:rowOff>125186</xdr:rowOff>
    </xdr:from>
    <xdr:to>
      <xdr:col>37</xdr:col>
      <xdr:colOff>68036</xdr:colOff>
      <xdr:row>28</xdr:row>
      <xdr:rowOff>204107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75F5DD45-549A-BE84-13E2-3113F25B4AFA}"/>
            </a:ext>
          </a:extLst>
        </xdr:cNvPr>
        <xdr:cNvSpPr/>
      </xdr:nvSpPr>
      <xdr:spPr>
        <a:xfrm>
          <a:off x="10112829" y="6248400"/>
          <a:ext cx="1534886" cy="813707"/>
        </a:xfrm>
        <a:prstGeom prst="rec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押し戻しの</a:t>
          </a:r>
          <a:br>
            <a:rPr kumimoji="1" lang="en-US" altLang="ja-JP" sz="1100"/>
          </a:br>
          <a:r>
            <a:rPr kumimoji="1" lang="ja-JP" altLang="en-US" sz="1100"/>
            <a:t>当たり判定</a:t>
          </a:r>
          <a:r>
            <a:rPr kumimoji="1" lang="en-US" altLang="ja-JP" sz="1100"/>
            <a:t>Collider</a:t>
          </a:r>
          <a:br>
            <a:rPr kumimoji="1" lang="en-US" altLang="ja-JP" sz="1100"/>
          </a:b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常にある</a:t>
          </a:r>
          <a:r>
            <a: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ON/OFF</a:t>
          </a:r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38</xdr:col>
      <xdr:colOff>231321</xdr:colOff>
      <xdr:row>25</xdr:row>
      <xdr:rowOff>108857</xdr:rowOff>
    </xdr:from>
    <xdr:to>
      <xdr:col>43</xdr:col>
      <xdr:colOff>201386</xdr:colOff>
      <xdr:row>28</xdr:row>
      <xdr:rowOff>187778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F1D8097C-4633-4B47-80D4-EE8820FA9CC8}"/>
            </a:ext>
          </a:extLst>
        </xdr:cNvPr>
        <xdr:cNvSpPr/>
      </xdr:nvSpPr>
      <xdr:spPr>
        <a:xfrm>
          <a:off x="12123964" y="6232071"/>
          <a:ext cx="1534886" cy="813707"/>
        </a:xfrm>
        <a:prstGeom prst="rec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やられ</a:t>
          </a:r>
          <a:br>
            <a:rPr kumimoji="1" lang="en-US" altLang="ja-JP" sz="1100"/>
          </a:br>
          <a:r>
            <a:rPr kumimoji="1" lang="ja-JP" altLang="en-US" sz="1100"/>
            <a:t>判定</a:t>
          </a:r>
          <a:r>
            <a:rPr kumimoji="1" lang="en-US" altLang="ja-JP" sz="1100"/>
            <a:t>Collider</a:t>
          </a:r>
          <a:br>
            <a:rPr kumimoji="1" lang="en-US" altLang="ja-JP" sz="1100"/>
          </a:br>
          <a:r>
            <a:rPr kumimoji="1" lang="ja-JP" altLang="en-US" sz="1100"/>
            <a:t>常にある</a:t>
          </a:r>
          <a:r>
            <a:rPr kumimoji="1" lang="en-US" altLang="ja-JP" sz="1100"/>
            <a:t>ON/OFF</a:t>
          </a:r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35</xdr:col>
      <xdr:colOff>142875</xdr:colOff>
      <xdr:row>19</xdr:row>
      <xdr:rowOff>95250</xdr:rowOff>
    </xdr:from>
    <xdr:to>
      <xdr:col>41</xdr:col>
      <xdr:colOff>59871</xdr:colOff>
      <xdr:row>25</xdr:row>
      <xdr:rowOff>108857</xdr:rowOff>
    </xdr:to>
    <xdr:cxnSp macro="">
      <xdr:nvCxnSpPr>
        <xdr:cNvPr id="11" name="直線矢印コネクタ 10">
          <a:extLst>
            <a:ext uri="{FF2B5EF4-FFF2-40B4-BE49-F238E27FC236}">
              <a16:creationId xmlns:a16="http://schemas.microsoft.com/office/drawing/2014/main" id="{1A03EB29-5809-4A44-8689-CC90B57AA4F7}"/>
            </a:ext>
          </a:extLst>
        </xdr:cNvPr>
        <xdr:cNvCxnSpPr>
          <a:stCxn id="4" idx="2"/>
          <a:endCxn id="9" idx="0"/>
        </xdr:cNvCxnSpPr>
      </xdr:nvCxnSpPr>
      <xdr:spPr>
        <a:xfrm>
          <a:off x="11096625" y="4748893"/>
          <a:ext cx="1794782" cy="148317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239486</xdr:colOff>
      <xdr:row>19</xdr:row>
      <xdr:rowOff>95250</xdr:rowOff>
    </xdr:from>
    <xdr:to>
      <xdr:col>35</xdr:col>
      <xdr:colOff>142875</xdr:colOff>
      <xdr:row>25</xdr:row>
      <xdr:rowOff>125186</xdr:rowOff>
    </xdr:to>
    <xdr:cxnSp macro="">
      <xdr:nvCxnSpPr>
        <xdr:cNvPr id="15" name="直線矢印コネクタ 14">
          <a:extLst>
            <a:ext uri="{FF2B5EF4-FFF2-40B4-BE49-F238E27FC236}">
              <a16:creationId xmlns:a16="http://schemas.microsoft.com/office/drawing/2014/main" id="{D3F26736-F687-4F47-A3AF-255F380F201E}"/>
            </a:ext>
          </a:extLst>
        </xdr:cNvPr>
        <xdr:cNvCxnSpPr>
          <a:stCxn id="4" idx="2"/>
          <a:endCxn id="6" idx="0"/>
        </xdr:cNvCxnSpPr>
      </xdr:nvCxnSpPr>
      <xdr:spPr>
        <a:xfrm flipH="1">
          <a:off x="10880272" y="4748893"/>
          <a:ext cx="216353" cy="149950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142875</xdr:colOff>
      <xdr:row>19</xdr:row>
      <xdr:rowOff>95250</xdr:rowOff>
    </xdr:from>
    <xdr:to>
      <xdr:col>48</xdr:col>
      <xdr:colOff>46265</xdr:colOff>
      <xdr:row>25</xdr:row>
      <xdr:rowOff>81644</xdr:rowOff>
    </xdr:to>
    <xdr:cxnSp macro="">
      <xdr:nvCxnSpPr>
        <xdr:cNvPr id="18" name="直線矢印コネクタ 17">
          <a:extLst>
            <a:ext uri="{FF2B5EF4-FFF2-40B4-BE49-F238E27FC236}">
              <a16:creationId xmlns:a16="http://schemas.microsoft.com/office/drawing/2014/main" id="{115D434C-23B9-4028-845D-04BACFD15C8A}"/>
            </a:ext>
          </a:extLst>
        </xdr:cNvPr>
        <xdr:cNvCxnSpPr>
          <a:stCxn id="4" idx="2"/>
          <a:endCxn id="21" idx="0"/>
        </xdr:cNvCxnSpPr>
      </xdr:nvCxnSpPr>
      <xdr:spPr>
        <a:xfrm>
          <a:off x="11096625" y="4748893"/>
          <a:ext cx="3971926" cy="145596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45</xdr:col>
      <xdr:colOff>217715</xdr:colOff>
      <xdr:row>25</xdr:row>
      <xdr:rowOff>81644</xdr:rowOff>
    </xdr:from>
    <xdr:to>
      <xdr:col>50</xdr:col>
      <xdr:colOff>187780</xdr:colOff>
      <xdr:row>28</xdr:row>
      <xdr:rowOff>160565</xdr:rowOff>
    </xdr:to>
    <xdr:sp macro="" textlink="">
      <xdr:nvSpPr>
        <xdr:cNvPr id="21" name="正方形/長方形 20">
          <a:extLst>
            <a:ext uri="{FF2B5EF4-FFF2-40B4-BE49-F238E27FC236}">
              <a16:creationId xmlns:a16="http://schemas.microsoft.com/office/drawing/2014/main" id="{2E6300D1-C695-421E-BF17-F42F0CB94819}"/>
            </a:ext>
          </a:extLst>
        </xdr:cNvPr>
        <xdr:cNvSpPr/>
      </xdr:nvSpPr>
      <xdr:spPr>
        <a:xfrm>
          <a:off x="14301108" y="6204858"/>
          <a:ext cx="1534886" cy="813707"/>
        </a:xfrm>
        <a:prstGeom prst="rec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攻撃</a:t>
          </a:r>
          <a:br>
            <a:rPr kumimoji="1" lang="en-US" altLang="ja-JP" sz="1100"/>
          </a:br>
          <a:r>
            <a:rPr kumimoji="1" lang="ja-JP" altLang="en-US" sz="1100"/>
            <a:t>判定</a:t>
          </a:r>
          <a:r>
            <a:rPr kumimoji="1" lang="en-US" altLang="ja-JP" sz="1100"/>
            <a:t>Collider</a:t>
          </a:r>
          <a:br>
            <a:rPr kumimoji="1" lang="en-US" altLang="ja-JP" sz="1100"/>
          </a:br>
          <a:r>
            <a:rPr kumimoji="1" lang="ja-JP" altLang="en-US" sz="1100"/>
            <a:t>毎回作る</a:t>
          </a:r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74C6-79B8-40DF-BFBC-1FA41083861E}">
  <dimension ref="B3:E27"/>
  <sheetViews>
    <sheetView workbookViewId="0">
      <selection activeCell="C9" sqref="C9"/>
    </sheetView>
  </sheetViews>
  <sheetFormatPr defaultRowHeight="18.75"/>
  <cols>
    <col min="2" max="2" width="33" bestFit="1" customWidth="1"/>
    <col min="3" max="3" width="15" bestFit="1" customWidth="1"/>
    <col min="4" max="4" width="33.25" bestFit="1" customWidth="1"/>
    <col min="5" max="5" width="17.25" bestFit="1" customWidth="1"/>
  </cols>
  <sheetData>
    <row r="3" spans="2:5">
      <c r="B3" s="4" t="s">
        <v>4</v>
      </c>
      <c r="C3">
        <f>SUM(作業工数見積もり!E3:E92)</f>
        <v>92</v>
      </c>
    </row>
    <row r="4" spans="2:5">
      <c r="B4" s="5" t="s">
        <v>6</v>
      </c>
      <c r="C4">
        <f>SUMIF(作業工数見積もり!G3:G45,"完了",作業工数見積もり!E3:E45)</f>
        <v>6</v>
      </c>
      <c r="D4" t="s">
        <v>7</v>
      </c>
    </row>
    <row r="5" spans="2:5">
      <c r="B5" s="6" t="s">
        <v>8</v>
      </c>
      <c r="C5" s="2">
        <f ca="1">NETWORKDAYS(C6,C7)</f>
        <v>418</v>
      </c>
      <c r="D5" s="3">
        <f ca="1" xml:space="preserve"> C4 / C5</f>
        <v>1.4354066985645933E-2</v>
      </c>
    </row>
    <row r="6" spans="2:5">
      <c r="B6" s="7" t="s">
        <v>9</v>
      </c>
      <c r="C6" s="1">
        <f>DATE(2024,11,7)</f>
        <v>45603</v>
      </c>
    </row>
    <row r="7" spans="2:5">
      <c r="B7" s="8" t="s">
        <v>11</v>
      </c>
      <c r="C7" s="1">
        <f ca="1">TODAY()</f>
        <v>46188</v>
      </c>
    </row>
    <row r="9" spans="2:5">
      <c r="D9" t="s">
        <v>12</v>
      </c>
      <c r="E9" t="s">
        <v>13</v>
      </c>
    </row>
    <row r="10" spans="2:5">
      <c r="B10" s="4" t="s">
        <v>15</v>
      </c>
      <c r="C10" s="1">
        <f>DATE(2024,12,20)</f>
        <v>45646</v>
      </c>
      <c r="D10" s="2">
        <f ca="1">NETWORKDAYS(TODAY(),C10)</f>
        <v>-387</v>
      </c>
      <c r="E10" s="3">
        <f ca="1">($C$3 - $C$4) / D10</f>
        <v>-0.22222222222222221</v>
      </c>
    </row>
    <row r="11" spans="2:5">
      <c r="B11" s="9" t="s">
        <v>16</v>
      </c>
      <c r="C11" s="1">
        <f>DATE(2025,1,17)</f>
        <v>45674</v>
      </c>
      <c r="D11" s="2">
        <f ca="1">NETWORKDAYS(TODAY(),C11)</f>
        <v>-367</v>
      </c>
      <c r="E11" s="3">
        <f ca="1">($C$3 - $C$4) / D11</f>
        <v>-0.23433242506811988</v>
      </c>
    </row>
    <row r="12" spans="2:5">
      <c r="B12" s="6" t="s">
        <v>17</v>
      </c>
      <c r="C12" s="1">
        <f>DATE(2025,2,3)</f>
        <v>45691</v>
      </c>
      <c r="D12" s="2">
        <f ca="1">NETWORKDAYS(TODAY(),C12)</f>
        <v>-356</v>
      </c>
      <c r="E12" s="3">
        <f ca="1">($C$3 - $C$4) / D12</f>
        <v>-0.24157303370786518</v>
      </c>
    </row>
    <row r="18" spans="2:4">
      <c r="B18" s="12" t="s">
        <v>1</v>
      </c>
      <c r="D18" t="s">
        <v>23</v>
      </c>
    </row>
    <row r="19" spans="2:4">
      <c r="B19" s="10" t="s">
        <v>19</v>
      </c>
      <c r="D19" t="s">
        <v>24</v>
      </c>
    </row>
    <row r="20" spans="2:4">
      <c r="B20" s="10" t="s">
        <v>20</v>
      </c>
      <c r="D20" t="s">
        <v>25</v>
      </c>
    </row>
    <row r="21" spans="2:4">
      <c r="B21" s="10" t="s">
        <v>21</v>
      </c>
      <c r="D21" t="s">
        <v>26</v>
      </c>
    </row>
    <row r="22" spans="2:4">
      <c r="B22" s="11" t="s">
        <v>22</v>
      </c>
      <c r="D22" t="s">
        <v>27</v>
      </c>
    </row>
    <row r="24" spans="2:4">
      <c r="B24" s="10" t="s">
        <v>28</v>
      </c>
      <c r="C24" s="24">
        <v>45631</v>
      </c>
    </row>
    <row r="25" spans="2:4">
      <c r="B25" s="10" t="s">
        <v>0</v>
      </c>
      <c r="C25" s="24">
        <v>45662</v>
      </c>
    </row>
    <row r="26" spans="2:4">
      <c r="B26" s="10" t="s">
        <v>29</v>
      </c>
      <c r="C26" s="24">
        <v>45677</v>
      </c>
    </row>
    <row r="27" spans="2:4">
      <c r="B27" s="10" t="s">
        <v>30</v>
      </c>
      <c r="C27" s="24">
        <v>45682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1"/>
  <sheetViews>
    <sheetView zoomScale="70" zoomScaleNormal="70" workbookViewId="0">
      <selection activeCell="B25" sqref="B25"/>
    </sheetView>
  </sheetViews>
  <sheetFormatPr defaultRowHeight="18.75" outlineLevelRow="1"/>
  <cols>
    <col min="1" max="1" width="69.625" style="10" bestFit="1" customWidth="1"/>
    <col min="2" max="2" width="42.625" style="10" bestFit="1" customWidth="1"/>
    <col min="3" max="3" width="15.375" style="16" bestFit="1" customWidth="1"/>
    <col min="4" max="4" width="19.25" style="16" bestFit="1" customWidth="1"/>
    <col min="5" max="6" width="17.125" style="16" bestFit="1" customWidth="1"/>
    <col min="7" max="7" width="19.25" style="16" bestFit="1" customWidth="1"/>
    <col min="8" max="8" width="9" style="10"/>
    <col min="9" max="9" width="18.125" style="10" bestFit="1" customWidth="1"/>
    <col min="10" max="11" width="11.5" style="10" bestFit="1" customWidth="1"/>
    <col min="12" max="12" width="9.5" style="10" bestFit="1" customWidth="1"/>
    <col min="13" max="14" width="9" style="10"/>
    <col min="16" max="16384" width="9" style="10"/>
  </cols>
  <sheetData>
    <row r="1" spans="1:12">
      <c r="A1" s="10" t="s">
        <v>44</v>
      </c>
      <c r="B1" s="10" t="s">
        <v>48</v>
      </c>
    </row>
    <row r="2" spans="1:12">
      <c r="A2" s="14" t="s">
        <v>31</v>
      </c>
      <c r="B2" s="14" t="s">
        <v>32</v>
      </c>
      <c r="C2" s="15" t="s">
        <v>1</v>
      </c>
      <c r="D2" s="15" t="s">
        <v>2</v>
      </c>
      <c r="E2" s="15" t="s">
        <v>33</v>
      </c>
      <c r="F2" s="15" t="s">
        <v>3</v>
      </c>
      <c r="G2" s="15" t="s">
        <v>34</v>
      </c>
      <c r="J2" s="10" t="s">
        <v>73</v>
      </c>
      <c r="K2" s="10" t="s">
        <v>74</v>
      </c>
      <c r="L2" s="10" t="s">
        <v>72</v>
      </c>
    </row>
    <row r="3" spans="1:12">
      <c r="A3" s="17" t="s">
        <v>35</v>
      </c>
      <c r="B3" s="10" t="s">
        <v>56</v>
      </c>
      <c r="C3" s="16" t="s">
        <v>5</v>
      </c>
      <c r="D3" s="16" t="s">
        <v>18</v>
      </c>
      <c r="E3" s="16">
        <v>1</v>
      </c>
      <c r="F3" s="16">
        <v>1</v>
      </c>
      <c r="G3" s="16" t="s">
        <v>39</v>
      </c>
      <c r="I3" s="25" t="s">
        <v>75</v>
      </c>
      <c r="J3" s="10">
        <f ca="1">SUM(J4,J5,J6)</f>
        <v>87</v>
      </c>
      <c r="K3" s="10">
        <f>SUMIFS(E3:E62,G3:G62,"未着手")</f>
        <v>80</v>
      </c>
      <c r="L3" s="10">
        <f>SUM(F3:F62)</f>
        <v>29</v>
      </c>
    </row>
    <row r="4" spans="1:12">
      <c r="A4" s="17" t="s">
        <v>35</v>
      </c>
      <c r="B4" s="10" t="s">
        <v>57</v>
      </c>
      <c r="C4" s="16" t="s">
        <v>14</v>
      </c>
      <c r="D4" s="16" t="s">
        <v>10</v>
      </c>
      <c r="E4" s="16">
        <v>0.5</v>
      </c>
      <c r="G4" s="16" t="s">
        <v>39</v>
      </c>
      <c r="I4" s="26" t="s">
        <v>28</v>
      </c>
      <c r="J4" s="29">
        <f ca="1">SUMIF(D3:D60,I4,E3:E59)</f>
        <v>85.5</v>
      </c>
      <c r="K4" s="10">
        <f>SUMIFS($E$3:$E$62,$G$3:$G$62,"未着手",$D$3:$D$62,I4)</f>
        <v>78.5</v>
      </c>
      <c r="L4" s="10">
        <f>SUMIFS(F3:F62,D3:D62,I4)</f>
        <v>29</v>
      </c>
    </row>
    <row r="5" spans="1:12">
      <c r="A5" s="17" t="s">
        <v>35</v>
      </c>
      <c r="B5" s="10" t="s">
        <v>58</v>
      </c>
      <c r="C5" s="16" t="s">
        <v>14</v>
      </c>
      <c r="D5" s="16" t="s">
        <v>10</v>
      </c>
      <c r="E5" s="16">
        <v>0.5</v>
      </c>
      <c r="G5" s="16" t="s">
        <v>39</v>
      </c>
      <c r="I5" s="27" t="s">
        <v>0</v>
      </c>
      <c r="J5" s="29">
        <f ca="1">SUMIF(D4:D62,I5,E4:E60)</f>
        <v>1.5</v>
      </c>
      <c r="K5" s="10">
        <f>SUMIFS($E$3:$E$62,$G$3:$G$62,"未着手",$D$3:$D$62,I5)</f>
        <v>1.5</v>
      </c>
      <c r="L5" s="10">
        <f>SUMIFS(F4:F63,D4:D63,I5)</f>
        <v>0</v>
      </c>
    </row>
    <row r="6" spans="1:12">
      <c r="A6" s="17" t="s">
        <v>35</v>
      </c>
      <c r="B6" s="10" t="s">
        <v>36</v>
      </c>
      <c r="C6" s="16" t="s">
        <v>14</v>
      </c>
      <c r="D6" s="16" t="s">
        <v>10</v>
      </c>
      <c r="E6" s="16">
        <v>0.5</v>
      </c>
      <c r="G6" s="16" t="s">
        <v>39</v>
      </c>
      <c r="I6" s="28" t="s">
        <v>29</v>
      </c>
      <c r="J6" s="29">
        <f ca="1">SUMIF(D5:D63,I6,E5:E62)</f>
        <v>0</v>
      </c>
      <c r="K6" s="10">
        <f>SUMIFS($E$3:$E$62,$G$3:$G$62,"未着手",$D$3:$D$62,I6)</f>
        <v>0</v>
      </c>
      <c r="L6" s="10">
        <f>SUMIFS(F5:F63,D5:D63,I6)</f>
        <v>0</v>
      </c>
    </row>
    <row r="7" spans="1:12">
      <c r="A7" s="18" t="s">
        <v>37</v>
      </c>
      <c r="B7" s="10" t="s">
        <v>54</v>
      </c>
      <c r="C7" s="16" t="s">
        <v>5</v>
      </c>
      <c r="D7" s="16" t="s">
        <v>18</v>
      </c>
      <c r="E7" s="16">
        <v>0.5</v>
      </c>
      <c r="F7" s="16">
        <v>2</v>
      </c>
      <c r="G7" s="16" t="s">
        <v>39</v>
      </c>
      <c r="I7" s="25" t="s">
        <v>71</v>
      </c>
      <c r="J7" s="10">
        <f>COUNTIF(G3:G60,"作業中")</f>
        <v>0</v>
      </c>
    </row>
    <row r="8" spans="1:12">
      <c r="A8" s="18" t="s">
        <v>37</v>
      </c>
      <c r="B8" s="10" t="s">
        <v>59</v>
      </c>
      <c r="C8" s="16" t="s">
        <v>5</v>
      </c>
      <c r="D8" s="16" t="s">
        <v>18</v>
      </c>
      <c r="E8" s="16">
        <v>2</v>
      </c>
      <c r="F8" s="16">
        <v>3</v>
      </c>
      <c r="G8" s="16" t="s">
        <v>39</v>
      </c>
    </row>
    <row r="9" spans="1:12">
      <c r="A9" s="18" t="s">
        <v>37</v>
      </c>
      <c r="B9" s="10" t="s">
        <v>87</v>
      </c>
      <c r="C9" s="16" t="s">
        <v>5</v>
      </c>
      <c r="D9" s="16" t="s">
        <v>18</v>
      </c>
      <c r="G9" s="16" t="s">
        <v>39</v>
      </c>
    </row>
    <row r="10" spans="1:12">
      <c r="A10" s="18" t="s">
        <v>37</v>
      </c>
      <c r="B10" s="10" t="s">
        <v>88</v>
      </c>
      <c r="C10" s="16" t="s">
        <v>5</v>
      </c>
      <c r="D10" s="16" t="s">
        <v>18</v>
      </c>
      <c r="G10" s="16" t="s">
        <v>39</v>
      </c>
    </row>
    <row r="11" spans="1:12">
      <c r="A11" s="19" t="s">
        <v>45</v>
      </c>
      <c r="B11" s="39" t="s">
        <v>92</v>
      </c>
      <c r="C11" s="16" t="s">
        <v>5</v>
      </c>
      <c r="D11" s="16" t="s">
        <v>18</v>
      </c>
      <c r="G11" s="16" t="s">
        <v>39</v>
      </c>
    </row>
    <row r="12" spans="1:12" outlineLevel="1">
      <c r="A12" s="19" t="s">
        <v>45</v>
      </c>
      <c r="B12" s="10" t="s">
        <v>43</v>
      </c>
      <c r="C12" s="16" t="s">
        <v>5</v>
      </c>
      <c r="D12" s="16" t="s">
        <v>18</v>
      </c>
      <c r="E12" s="16">
        <v>1</v>
      </c>
      <c r="F12" s="16">
        <v>1</v>
      </c>
      <c r="G12" s="16" t="s">
        <v>70</v>
      </c>
    </row>
    <row r="13" spans="1:12" outlineLevel="1">
      <c r="A13" s="19" t="s">
        <v>45</v>
      </c>
      <c r="B13" s="10" t="s">
        <v>69</v>
      </c>
      <c r="C13" s="16" t="s">
        <v>5</v>
      </c>
      <c r="D13" s="16" t="s">
        <v>18</v>
      </c>
      <c r="E13" s="16">
        <v>1</v>
      </c>
      <c r="F13" s="16">
        <v>1</v>
      </c>
      <c r="G13" s="16" t="s">
        <v>70</v>
      </c>
    </row>
    <row r="14" spans="1:12" outlineLevel="1">
      <c r="A14" s="19"/>
      <c r="B14" s="10" t="s">
        <v>136</v>
      </c>
    </row>
    <row r="15" spans="1:12" outlineLevel="1">
      <c r="A15" s="19"/>
      <c r="B15" s="10" t="s">
        <v>137</v>
      </c>
    </row>
    <row r="16" spans="1:12" outlineLevel="1">
      <c r="A16" s="19"/>
      <c r="B16" s="10" t="s">
        <v>138</v>
      </c>
    </row>
    <row r="17" spans="1:7">
      <c r="A17" s="19" t="s">
        <v>45</v>
      </c>
      <c r="B17" s="39" t="s">
        <v>93</v>
      </c>
      <c r="C17" s="16" t="s">
        <v>5</v>
      </c>
      <c r="D17" s="16" t="s">
        <v>18</v>
      </c>
      <c r="G17" s="16" t="s">
        <v>39</v>
      </c>
    </row>
    <row r="18" spans="1:7" outlineLevel="1">
      <c r="A18" s="19" t="s">
        <v>45</v>
      </c>
      <c r="B18" s="10" t="s">
        <v>83</v>
      </c>
      <c r="C18" s="16" t="s">
        <v>5</v>
      </c>
      <c r="D18" s="16" t="s">
        <v>18</v>
      </c>
      <c r="E18" s="16">
        <v>1</v>
      </c>
      <c r="F18" s="16">
        <v>1</v>
      </c>
      <c r="G18" s="16" t="s">
        <v>70</v>
      </c>
    </row>
    <row r="19" spans="1:7" outlineLevel="1">
      <c r="A19" s="19" t="s">
        <v>45</v>
      </c>
      <c r="B19" s="10" t="s">
        <v>84</v>
      </c>
      <c r="C19" s="16" t="s">
        <v>5</v>
      </c>
      <c r="D19" s="16" t="s">
        <v>18</v>
      </c>
      <c r="E19" s="16">
        <v>1</v>
      </c>
      <c r="F19" s="16">
        <v>1</v>
      </c>
      <c r="G19" s="16" t="s">
        <v>70</v>
      </c>
    </row>
    <row r="20" spans="1:7" outlineLevel="1">
      <c r="A20" s="19" t="s">
        <v>45</v>
      </c>
      <c r="B20" s="10" t="s">
        <v>85</v>
      </c>
      <c r="C20" s="16" t="s">
        <v>5</v>
      </c>
      <c r="D20" s="16" t="s">
        <v>18</v>
      </c>
      <c r="E20" s="16">
        <v>1</v>
      </c>
      <c r="F20" s="16">
        <v>1</v>
      </c>
      <c r="G20" s="16" t="s">
        <v>70</v>
      </c>
    </row>
    <row r="21" spans="1:7" outlineLevel="1">
      <c r="A21" s="19" t="s">
        <v>45</v>
      </c>
      <c r="B21" s="10" t="s">
        <v>165</v>
      </c>
      <c r="C21" s="16" t="s">
        <v>5</v>
      </c>
      <c r="D21" s="16" t="s">
        <v>18</v>
      </c>
      <c r="G21" s="16" t="s">
        <v>39</v>
      </c>
    </row>
    <row r="22" spans="1:7">
      <c r="A22" s="19" t="s">
        <v>45</v>
      </c>
      <c r="B22" s="39" t="s">
        <v>94</v>
      </c>
      <c r="C22" s="16" t="s">
        <v>5</v>
      </c>
      <c r="D22" s="16" t="s">
        <v>18</v>
      </c>
      <c r="G22" s="16" t="s">
        <v>39</v>
      </c>
    </row>
    <row r="23" spans="1:7" outlineLevel="1">
      <c r="A23" s="19" t="s">
        <v>45</v>
      </c>
      <c r="B23" s="10" t="s">
        <v>166</v>
      </c>
      <c r="C23" s="16" t="s">
        <v>5</v>
      </c>
      <c r="D23" s="16" t="s">
        <v>18</v>
      </c>
      <c r="E23" s="16">
        <v>3</v>
      </c>
      <c r="G23" s="16" t="s">
        <v>39</v>
      </c>
    </row>
    <row r="24" spans="1:7" outlineLevel="1">
      <c r="A24" s="19"/>
      <c r="B24" s="10" t="s">
        <v>167</v>
      </c>
    </row>
    <row r="25" spans="1:7">
      <c r="A25" s="19" t="s">
        <v>45</v>
      </c>
      <c r="B25" s="39" t="s">
        <v>95</v>
      </c>
      <c r="C25" s="16" t="s">
        <v>5</v>
      </c>
      <c r="D25" s="16" t="s">
        <v>18</v>
      </c>
      <c r="G25" s="16" t="s">
        <v>39</v>
      </c>
    </row>
    <row r="26" spans="1:7" outlineLevel="1">
      <c r="A26" s="19" t="s">
        <v>45</v>
      </c>
      <c r="B26" s="10" t="s">
        <v>89</v>
      </c>
      <c r="C26" s="16" t="s">
        <v>5</v>
      </c>
      <c r="D26" s="16" t="s">
        <v>18</v>
      </c>
      <c r="E26" s="16">
        <v>24</v>
      </c>
      <c r="G26" s="16" t="s">
        <v>39</v>
      </c>
    </row>
    <row r="27" spans="1:7">
      <c r="A27" s="19" t="s">
        <v>45</v>
      </c>
      <c r="B27" s="39" t="s">
        <v>96</v>
      </c>
      <c r="C27" s="16" t="s">
        <v>5</v>
      </c>
      <c r="D27" s="16" t="s">
        <v>18</v>
      </c>
      <c r="G27" s="16" t="s">
        <v>39</v>
      </c>
    </row>
    <row r="28" spans="1:7" outlineLevel="1">
      <c r="A28" s="19" t="s">
        <v>45</v>
      </c>
      <c r="B28" s="10" t="s">
        <v>90</v>
      </c>
      <c r="C28" s="16" t="s">
        <v>5</v>
      </c>
      <c r="D28" s="16" t="s">
        <v>18</v>
      </c>
      <c r="E28" s="16">
        <v>1</v>
      </c>
      <c r="F28" s="16">
        <v>1</v>
      </c>
      <c r="G28" s="16" t="s">
        <v>70</v>
      </c>
    </row>
    <row r="29" spans="1:7" outlineLevel="1">
      <c r="A29" s="19" t="s">
        <v>45</v>
      </c>
      <c r="B29" s="10" t="s">
        <v>99</v>
      </c>
      <c r="C29" s="16" t="s">
        <v>5</v>
      </c>
      <c r="D29" s="16" t="s">
        <v>18</v>
      </c>
      <c r="E29" s="16">
        <v>2</v>
      </c>
      <c r="G29" s="16" t="s">
        <v>39</v>
      </c>
    </row>
    <row r="30" spans="1:7" outlineLevel="1">
      <c r="A30" s="19" t="s">
        <v>45</v>
      </c>
      <c r="B30" s="10" t="s">
        <v>97</v>
      </c>
      <c r="C30" s="16" t="s">
        <v>5</v>
      </c>
      <c r="D30" s="16" t="s">
        <v>18</v>
      </c>
      <c r="E30" s="16">
        <v>4</v>
      </c>
      <c r="G30" s="16" t="s">
        <v>39</v>
      </c>
    </row>
    <row r="31" spans="1:7" outlineLevel="1">
      <c r="A31" s="19" t="s">
        <v>45</v>
      </c>
      <c r="B31" s="10" t="s">
        <v>98</v>
      </c>
      <c r="C31" s="16" t="s">
        <v>5</v>
      </c>
      <c r="D31" s="16" t="s">
        <v>18</v>
      </c>
      <c r="E31" s="16">
        <v>4</v>
      </c>
      <c r="G31" s="16" t="s">
        <v>39</v>
      </c>
    </row>
    <row r="32" spans="1:7">
      <c r="A32" s="19" t="s">
        <v>45</v>
      </c>
      <c r="B32" s="39"/>
      <c r="C32" s="16" t="s">
        <v>5</v>
      </c>
      <c r="D32" s="16" t="s">
        <v>18</v>
      </c>
      <c r="G32" s="16" t="s">
        <v>39</v>
      </c>
    </row>
    <row r="33" spans="1:7" outlineLevel="1">
      <c r="A33" s="19" t="s">
        <v>45</v>
      </c>
      <c r="C33" s="16" t="s">
        <v>5</v>
      </c>
      <c r="D33" s="16" t="s">
        <v>18</v>
      </c>
      <c r="G33" s="16" t="s">
        <v>39</v>
      </c>
    </row>
    <row r="34" spans="1:7" outlineLevel="1">
      <c r="A34" s="19" t="s">
        <v>45</v>
      </c>
      <c r="C34" s="16" t="s">
        <v>5</v>
      </c>
      <c r="D34" s="16" t="s">
        <v>18</v>
      </c>
      <c r="G34" s="16" t="s">
        <v>39</v>
      </c>
    </row>
    <row r="35" spans="1:7" outlineLevel="1">
      <c r="A35" s="19" t="s">
        <v>45</v>
      </c>
      <c r="C35" s="16" t="s">
        <v>5</v>
      </c>
      <c r="D35" s="16" t="s">
        <v>18</v>
      </c>
      <c r="G35" s="16" t="s">
        <v>39</v>
      </c>
    </row>
    <row r="36" spans="1:7" outlineLevel="1">
      <c r="A36" s="19" t="s">
        <v>45</v>
      </c>
      <c r="B36" s="39" t="s">
        <v>132</v>
      </c>
      <c r="C36" s="16" t="s">
        <v>5</v>
      </c>
      <c r="D36" s="16" t="s">
        <v>18</v>
      </c>
    </row>
    <row r="37" spans="1:7" outlineLevel="1">
      <c r="A37" s="19" t="s">
        <v>45</v>
      </c>
      <c r="B37" s="10" t="s">
        <v>135</v>
      </c>
      <c r="C37" s="16" t="s">
        <v>5</v>
      </c>
      <c r="D37" s="16" t="s">
        <v>18</v>
      </c>
    </row>
    <row r="38" spans="1:7" outlineLevel="1">
      <c r="A38" s="19" t="s">
        <v>45</v>
      </c>
      <c r="B38" s="39" t="s">
        <v>133</v>
      </c>
      <c r="C38" s="16" t="s">
        <v>5</v>
      </c>
      <c r="D38" s="16" t="s">
        <v>18</v>
      </c>
    </row>
    <row r="39" spans="1:7" outlineLevel="1">
      <c r="A39" s="19" t="s">
        <v>45</v>
      </c>
      <c r="B39" s="10" t="s">
        <v>134</v>
      </c>
      <c r="C39" s="16" t="s">
        <v>5</v>
      </c>
      <c r="D39" s="16" t="s">
        <v>18</v>
      </c>
    </row>
    <row r="40" spans="1:7">
      <c r="A40" s="19" t="s">
        <v>45</v>
      </c>
      <c r="B40" s="10" t="s">
        <v>86</v>
      </c>
      <c r="C40" s="16" t="s">
        <v>5</v>
      </c>
      <c r="D40" s="16" t="s">
        <v>18</v>
      </c>
      <c r="E40" s="16">
        <v>1</v>
      </c>
      <c r="F40" s="16">
        <v>4</v>
      </c>
      <c r="G40" s="16" t="s">
        <v>39</v>
      </c>
    </row>
    <row r="41" spans="1:7">
      <c r="A41" s="19" t="s">
        <v>45</v>
      </c>
      <c r="B41" s="10" t="s">
        <v>46</v>
      </c>
      <c r="C41" s="16" t="s">
        <v>5</v>
      </c>
      <c r="D41" s="16" t="s">
        <v>18</v>
      </c>
      <c r="E41" s="16">
        <v>2</v>
      </c>
      <c r="F41" s="16">
        <v>2</v>
      </c>
      <c r="G41" s="16" t="s">
        <v>39</v>
      </c>
    </row>
    <row r="42" spans="1:7">
      <c r="A42" s="19" t="s">
        <v>45</v>
      </c>
      <c r="B42" s="10" t="s">
        <v>47</v>
      </c>
      <c r="C42" s="16" t="s">
        <v>5</v>
      </c>
      <c r="D42" s="16" t="s">
        <v>18</v>
      </c>
      <c r="E42" s="16">
        <v>2</v>
      </c>
      <c r="F42" s="16">
        <v>3</v>
      </c>
      <c r="G42" s="16" t="s">
        <v>39</v>
      </c>
    </row>
    <row r="43" spans="1:7">
      <c r="A43" s="19" t="s">
        <v>45</v>
      </c>
      <c r="B43" s="10" t="s">
        <v>51</v>
      </c>
      <c r="C43" s="16" t="s">
        <v>5</v>
      </c>
      <c r="D43" s="16" t="s">
        <v>18</v>
      </c>
      <c r="E43" s="16">
        <v>8</v>
      </c>
      <c r="F43" s="16">
        <v>3</v>
      </c>
      <c r="G43" s="16" t="s">
        <v>39</v>
      </c>
    </row>
    <row r="44" spans="1:7">
      <c r="A44" s="20" t="s">
        <v>49</v>
      </c>
      <c r="B44" s="10" t="s">
        <v>117</v>
      </c>
      <c r="C44" s="16" t="s">
        <v>5</v>
      </c>
      <c r="D44" s="16" t="s">
        <v>18</v>
      </c>
      <c r="G44" s="16" t="s">
        <v>39</v>
      </c>
    </row>
    <row r="45" spans="1:7">
      <c r="A45" s="20" t="s">
        <v>49</v>
      </c>
      <c r="B45" s="39" t="s">
        <v>100</v>
      </c>
      <c r="C45" s="16" t="s">
        <v>5</v>
      </c>
      <c r="D45" s="16" t="s">
        <v>18</v>
      </c>
      <c r="E45" s="16">
        <v>0.5</v>
      </c>
      <c r="F45" s="16">
        <v>0.5</v>
      </c>
      <c r="G45" s="16" t="s">
        <v>39</v>
      </c>
    </row>
    <row r="46" spans="1:7">
      <c r="A46" s="20" t="s">
        <v>49</v>
      </c>
      <c r="B46" s="10" t="s">
        <v>43</v>
      </c>
      <c r="C46" s="16" t="s">
        <v>5</v>
      </c>
      <c r="D46" s="16" t="s">
        <v>18</v>
      </c>
      <c r="E46" s="16">
        <v>0.5</v>
      </c>
      <c r="F46" s="16">
        <v>0.5</v>
      </c>
      <c r="G46" s="16" t="s">
        <v>39</v>
      </c>
    </row>
    <row r="47" spans="1:7">
      <c r="A47" s="20" t="s">
        <v>49</v>
      </c>
      <c r="B47" s="39" t="s">
        <v>93</v>
      </c>
      <c r="C47" s="16" t="s">
        <v>5</v>
      </c>
      <c r="D47" s="16" t="s">
        <v>18</v>
      </c>
      <c r="G47" s="16" t="s">
        <v>39</v>
      </c>
    </row>
    <row r="48" spans="1:7">
      <c r="A48" s="20" t="s">
        <v>49</v>
      </c>
      <c r="B48" s="10" t="s">
        <v>91</v>
      </c>
      <c r="C48" s="16" t="s">
        <v>5</v>
      </c>
      <c r="D48" s="16" t="s">
        <v>18</v>
      </c>
      <c r="G48" s="16" t="s">
        <v>39</v>
      </c>
    </row>
    <row r="49" spans="1:7">
      <c r="A49" s="20" t="s">
        <v>49</v>
      </c>
      <c r="B49" s="39" t="s">
        <v>101</v>
      </c>
      <c r="C49" s="16" t="s">
        <v>5</v>
      </c>
      <c r="D49" s="16" t="s">
        <v>18</v>
      </c>
      <c r="G49" s="16" t="s">
        <v>39</v>
      </c>
    </row>
    <row r="50" spans="1:7">
      <c r="A50" s="20" t="s">
        <v>49</v>
      </c>
      <c r="B50" s="10" t="s">
        <v>102</v>
      </c>
      <c r="C50" s="16" t="s">
        <v>5</v>
      </c>
      <c r="D50" s="16" t="s">
        <v>18</v>
      </c>
      <c r="G50" s="16" t="s">
        <v>39</v>
      </c>
    </row>
    <row r="51" spans="1:7">
      <c r="A51" s="20" t="s">
        <v>49</v>
      </c>
      <c r="B51" s="39" t="s">
        <v>103</v>
      </c>
      <c r="C51" s="16" t="s">
        <v>5</v>
      </c>
      <c r="D51" s="16" t="s">
        <v>18</v>
      </c>
      <c r="G51" s="16" t="s">
        <v>39</v>
      </c>
    </row>
    <row r="52" spans="1:7">
      <c r="A52" s="20" t="s">
        <v>49</v>
      </c>
      <c r="B52" s="10" t="s">
        <v>55</v>
      </c>
      <c r="C52" s="16" t="s">
        <v>5</v>
      </c>
      <c r="D52" s="16" t="s">
        <v>18</v>
      </c>
      <c r="E52" s="16">
        <v>2</v>
      </c>
      <c r="G52" s="16" t="s">
        <v>39</v>
      </c>
    </row>
    <row r="53" spans="1:7">
      <c r="A53" s="20" t="s">
        <v>49</v>
      </c>
      <c r="B53" s="39" t="s">
        <v>104</v>
      </c>
      <c r="C53" s="16" t="s">
        <v>5</v>
      </c>
      <c r="D53" s="16" t="s">
        <v>18</v>
      </c>
      <c r="G53" s="16" t="s">
        <v>39</v>
      </c>
    </row>
    <row r="54" spans="1:7">
      <c r="A54" s="20" t="s">
        <v>49</v>
      </c>
      <c r="B54" s="10" t="s">
        <v>105</v>
      </c>
      <c r="C54" s="16" t="s">
        <v>5</v>
      </c>
      <c r="D54" s="16" t="s">
        <v>18</v>
      </c>
      <c r="G54" s="16" t="s">
        <v>39</v>
      </c>
    </row>
    <row r="55" spans="1:7">
      <c r="A55" s="20" t="s">
        <v>49</v>
      </c>
      <c r="B55" s="10" t="s">
        <v>50</v>
      </c>
      <c r="C55" s="16" t="s">
        <v>5</v>
      </c>
      <c r="D55" s="16" t="s">
        <v>18</v>
      </c>
      <c r="E55" s="16">
        <v>1</v>
      </c>
      <c r="F55" s="16">
        <v>3</v>
      </c>
      <c r="G55" s="16" t="s">
        <v>39</v>
      </c>
    </row>
    <row r="56" spans="1:7">
      <c r="A56" s="21" t="s">
        <v>40</v>
      </c>
      <c r="B56" s="10" t="s">
        <v>106</v>
      </c>
      <c r="C56" s="16" t="s">
        <v>5</v>
      </c>
      <c r="D56" s="16" t="s">
        <v>18</v>
      </c>
      <c r="E56" s="16">
        <v>1</v>
      </c>
      <c r="F56" s="16">
        <v>1</v>
      </c>
      <c r="G56" s="16" t="s">
        <v>70</v>
      </c>
    </row>
    <row r="57" spans="1:7">
      <c r="A57" s="21" t="s">
        <v>40</v>
      </c>
      <c r="B57" s="10" t="s">
        <v>107</v>
      </c>
      <c r="C57" s="16" t="s">
        <v>5</v>
      </c>
      <c r="D57" s="16" t="s">
        <v>18</v>
      </c>
      <c r="E57" s="16">
        <v>12</v>
      </c>
      <c r="G57" s="16" t="s">
        <v>39</v>
      </c>
    </row>
    <row r="58" spans="1:7">
      <c r="A58" s="21" t="s">
        <v>40</v>
      </c>
      <c r="B58" s="10" t="s">
        <v>108</v>
      </c>
      <c r="C58" s="16" t="s">
        <v>5</v>
      </c>
      <c r="D58" s="16" t="s">
        <v>18</v>
      </c>
      <c r="E58" s="16">
        <v>6</v>
      </c>
      <c r="G58" s="16" t="s">
        <v>39</v>
      </c>
    </row>
    <row r="59" spans="1:7">
      <c r="A59" s="21" t="s">
        <v>40</v>
      </c>
      <c r="B59" s="10" t="s">
        <v>53</v>
      </c>
      <c r="C59" s="16" t="s">
        <v>5</v>
      </c>
      <c r="D59" s="16" t="s">
        <v>18</v>
      </c>
      <c r="E59" s="16">
        <v>3</v>
      </c>
      <c r="G59" s="16" t="s">
        <v>39</v>
      </c>
    </row>
    <row r="60" spans="1:7">
      <c r="A60" s="22" t="s">
        <v>41</v>
      </c>
      <c r="B60" s="10" t="s">
        <v>109</v>
      </c>
      <c r="C60" s="16" t="s">
        <v>5</v>
      </c>
      <c r="D60" s="16" t="s">
        <v>18</v>
      </c>
      <c r="G60" s="16" t="s">
        <v>39</v>
      </c>
    </row>
    <row r="61" spans="1:7">
      <c r="A61" s="22" t="s">
        <v>41</v>
      </c>
      <c r="B61" s="10" t="s">
        <v>110</v>
      </c>
      <c r="C61" s="16" t="s">
        <v>5</v>
      </c>
      <c r="D61" s="16" t="s">
        <v>18</v>
      </c>
      <c r="G61" s="16" t="s">
        <v>39</v>
      </c>
    </row>
    <row r="62" spans="1:7">
      <c r="A62" s="23" t="s">
        <v>42</v>
      </c>
      <c r="C62" s="16" t="s">
        <v>5</v>
      </c>
      <c r="D62" s="16" t="s">
        <v>18</v>
      </c>
      <c r="G62" s="16" t="s">
        <v>39</v>
      </c>
    </row>
    <row r="63" spans="1:7">
      <c r="A63" s="10" t="s">
        <v>61</v>
      </c>
      <c r="C63" s="16" t="s">
        <v>5</v>
      </c>
      <c r="D63" s="16" t="s">
        <v>18</v>
      </c>
      <c r="G63" s="16" t="s">
        <v>39</v>
      </c>
    </row>
    <row r="64" spans="1:7">
      <c r="A64" s="13" t="s">
        <v>38</v>
      </c>
      <c r="B64" s="10" t="s">
        <v>52</v>
      </c>
      <c r="C64" s="16" t="s">
        <v>5</v>
      </c>
      <c r="D64" s="16" t="s">
        <v>18</v>
      </c>
      <c r="E64" s="16">
        <v>3</v>
      </c>
      <c r="G64" s="16" t="s">
        <v>39</v>
      </c>
    </row>
    <row r="65" spans="1:7">
      <c r="A65" s="13" t="s">
        <v>38</v>
      </c>
      <c r="B65" s="10" t="s">
        <v>60</v>
      </c>
      <c r="C65" s="16" t="s">
        <v>5</v>
      </c>
      <c r="D65" s="16" t="s">
        <v>18</v>
      </c>
      <c r="E65" s="16">
        <v>2</v>
      </c>
      <c r="F65" s="16">
        <v>1</v>
      </c>
      <c r="G65" s="16" t="s">
        <v>39</v>
      </c>
    </row>
    <row r="66" spans="1:7">
      <c r="A66" s="13" t="s">
        <v>38</v>
      </c>
      <c r="B66" s="10" t="s">
        <v>111</v>
      </c>
      <c r="C66" s="16" t="s">
        <v>5</v>
      </c>
      <c r="D66" s="16" t="s">
        <v>18</v>
      </c>
      <c r="G66" s="16" t="s">
        <v>39</v>
      </c>
    </row>
    <row r="67" spans="1:7">
      <c r="A67" s="13" t="s">
        <v>38</v>
      </c>
      <c r="B67" s="10" t="s">
        <v>112</v>
      </c>
      <c r="C67" s="16" t="s">
        <v>5</v>
      </c>
      <c r="D67" s="16" t="s">
        <v>18</v>
      </c>
      <c r="G67" s="16" t="s">
        <v>39</v>
      </c>
    </row>
    <row r="68" spans="1:7">
      <c r="A68" s="13" t="s">
        <v>38</v>
      </c>
      <c r="B68" s="10" t="s">
        <v>115</v>
      </c>
      <c r="C68" s="16" t="s">
        <v>5</v>
      </c>
      <c r="D68" s="16" t="s">
        <v>18</v>
      </c>
      <c r="G68" s="16" t="s">
        <v>39</v>
      </c>
    </row>
    <row r="69" spans="1:7">
      <c r="A69" s="13" t="s">
        <v>38</v>
      </c>
      <c r="B69" s="10" t="s">
        <v>113</v>
      </c>
      <c r="C69" s="16" t="s">
        <v>5</v>
      </c>
      <c r="D69" s="16" t="s">
        <v>18</v>
      </c>
      <c r="G69" s="16" t="s">
        <v>39</v>
      </c>
    </row>
    <row r="70" spans="1:7">
      <c r="A70" s="13" t="s">
        <v>38</v>
      </c>
      <c r="B70" s="10" t="s">
        <v>114</v>
      </c>
      <c r="C70" s="16" t="s">
        <v>5</v>
      </c>
      <c r="D70" s="16" t="s">
        <v>18</v>
      </c>
      <c r="G70" s="16" t="s">
        <v>39</v>
      </c>
    </row>
    <row r="71" spans="1:7">
      <c r="A71" s="13" t="s">
        <v>38</v>
      </c>
      <c r="B71" s="10" t="s">
        <v>116</v>
      </c>
      <c r="C71" s="16" t="s">
        <v>5</v>
      </c>
      <c r="D71" s="16" t="s">
        <v>18</v>
      </c>
      <c r="G71" s="16" t="s">
        <v>39</v>
      </c>
    </row>
  </sheetData>
  <autoFilter ref="B2:G63" xr:uid="{00000000-0001-0000-0000-000000000000}">
    <sortState xmlns:xlrd2="http://schemas.microsoft.com/office/spreadsheetml/2017/richdata2" ref="B3:G59">
      <sortCondition ref="B2:B59"/>
    </sortState>
  </autoFilter>
  <phoneticPr fontId="1"/>
  <dataValidations count="3">
    <dataValidation type="list" allowBlank="1" showInputMessage="1" showErrorMessage="1" sqref="C3:C71" xr:uid="{AF10AFEC-2E3A-4CB7-ABD8-6255C47E78C2}">
      <formula1>"S,A,B,C"</formula1>
    </dataValidation>
    <dataValidation type="list" allowBlank="1" showInputMessage="1" showErrorMessage="1" sqref="D3:D71" xr:uid="{8982FD40-CA4D-4B92-93FE-B37B6B67ACD6}">
      <formula1>"プロト,アルファ,ベータ,マスタ"</formula1>
    </dataValidation>
    <dataValidation type="list" allowBlank="1" showInputMessage="1" showErrorMessage="1" sqref="G3:G71" xr:uid="{E1CFE88F-4F87-4696-BE21-1133C2AEB8C1}">
      <formula1>"未着手,作業中,完了"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30D07-33E0-4A6A-A9E3-4F29F77EDCE6}">
  <dimension ref="C2:P37"/>
  <sheetViews>
    <sheetView topLeftCell="A6" zoomScale="115" zoomScaleNormal="115" workbookViewId="0">
      <selection activeCell="H15" sqref="H15"/>
    </sheetView>
  </sheetViews>
  <sheetFormatPr defaultRowHeight="18.75"/>
  <sheetData>
    <row r="2" spans="3:16">
      <c r="O2" t="s">
        <v>81</v>
      </c>
    </row>
    <row r="3" spans="3:16">
      <c r="C3" t="s">
        <v>76</v>
      </c>
    </row>
    <row r="4" spans="3:16">
      <c r="C4" s="11" t="s">
        <v>62</v>
      </c>
      <c r="D4" s="11" t="s">
        <v>63</v>
      </c>
      <c r="E4" s="11" t="s">
        <v>64</v>
      </c>
      <c r="F4" s="11" t="s">
        <v>65</v>
      </c>
      <c r="G4" s="11" t="s">
        <v>66</v>
      </c>
      <c r="H4" s="11" t="s">
        <v>67</v>
      </c>
      <c r="I4" s="11" t="s">
        <v>68</v>
      </c>
    </row>
    <row r="5" spans="3:16">
      <c r="C5" s="11"/>
      <c r="D5" s="11"/>
      <c r="E5" s="11"/>
      <c r="F5" s="11"/>
      <c r="G5" s="11"/>
      <c r="H5" s="11">
        <v>1</v>
      </c>
      <c r="I5" s="11">
        <v>2</v>
      </c>
      <c r="M5" t="s">
        <v>82</v>
      </c>
    </row>
    <row r="6" spans="3:16">
      <c r="C6" s="10">
        <v>3</v>
      </c>
      <c r="D6" s="10">
        <v>4</v>
      </c>
      <c r="E6" s="10">
        <v>5</v>
      </c>
      <c r="F6" s="10">
        <v>6</v>
      </c>
      <c r="G6" s="10">
        <v>7</v>
      </c>
      <c r="H6" s="10">
        <v>8</v>
      </c>
      <c r="I6" s="11">
        <v>9</v>
      </c>
      <c r="K6" t="s">
        <v>28</v>
      </c>
      <c r="L6" s="31"/>
      <c r="M6">
        <v>24</v>
      </c>
    </row>
    <row r="7" spans="3:16">
      <c r="C7" s="10">
        <v>10</v>
      </c>
      <c r="D7" s="10">
        <v>11</v>
      </c>
      <c r="E7" s="10">
        <v>12</v>
      </c>
      <c r="F7" s="10">
        <v>13</v>
      </c>
      <c r="G7" s="10">
        <v>14</v>
      </c>
      <c r="H7" s="10">
        <v>15</v>
      </c>
      <c r="I7" s="11">
        <v>16</v>
      </c>
      <c r="K7" t="s">
        <v>0</v>
      </c>
      <c r="L7" s="33"/>
      <c r="M7">
        <v>24</v>
      </c>
      <c r="P7">
        <v>74</v>
      </c>
    </row>
    <row r="8" spans="3:16">
      <c r="C8" s="10">
        <v>17</v>
      </c>
      <c r="D8" s="10">
        <v>18</v>
      </c>
      <c r="E8" s="10">
        <v>19</v>
      </c>
      <c r="F8" s="10">
        <v>20</v>
      </c>
      <c r="G8" s="10">
        <v>21</v>
      </c>
      <c r="H8" s="38">
        <v>22</v>
      </c>
      <c r="I8" s="11">
        <v>23</v>
      </c>
      <c r="K8" t="s">
        <v>29</v>
      </c>
      <c r="L8" s="37"/>
      <c r="M8">
        <v>24</v>
      </c>
    </row>
    <row r="9" spans="3:16">
      <c r="C9" s="10">
        <v>24</v>
      </c>
      <c r="D9" s="10">
        <v>25</v>
      </c>
      <c r="E9" s="10">
        <v>26</v>
      </c>
      <c r="F9" s="10">
        <v>27</v>
      </c>
      <c r="G9" s="10">
        <v>28</v>
      </c>
      <c r="H9" s="10">
        <v>29</v>
      </c>
      <c r="I9" s="11">
        <v>30</v>
      </c>
      <c r="K9" t="s">
        <v>80</v>
      </c>
      <c r="L9" s="34"/>
      <c r="M9">
        <v>7</v>
      </c>
    </row>
    <row r="10" spans="3:16">
      <c r="C10" s="11">
        <v>31</v>
      </c>
    </row>
    <row r="12" spans="3:16">
      <c r="C12" t="s">
        <v>77</v>
      </c>
    </row>
    <row r="13" spans="3:16">
      <c r="C13" s="11" t="s">
        <v>62</v>
      </c>
      <c r="D13" s="11" t="s">
        <v>63</v>
      </c>
      <c r="E13" s="11" t="s">
        <v>64</v>
      </c>
      <c r="F13" s="11" t="s">
        <v>65</v>
      </c>
      <c r="G13" s="11" t="s">
        <v>66</v>
      </c>
      <c r="H13" s="11" t="s">
        <v>67</v>
      </c>
      <c r="I13" s="11" t="s">
        <v>68</v>
      </c>
    </row>
    <row r="14" spans="3:16">
      <c r="C14" s="10"/>
      <c r="D14" s="10">
        <v>1</v>
      </c>
      <c r="E14" s="10">
        <v>2</v>
      </c>
      <c r="F14" s="10">
        <v>3</v>
      </c>
      <c r="G14" s="10">
        <v>4</v>
      </c>
      <c r="H14" s="10">
        <v>5</v>
      </c>
      <c r="I14" s="10">
        <v>6</v>
      </c>
    </row>
    <row r="15" spans="3:16">
      <c r="C15" s="10">
        <v>7</v>
      </c>
      <c r="D15" s="10">
        <v>8</v>
      </c>
      <c r="E15" s="10">
        <v>9</v>
      </c>
      <c r="F15" s="10">
        <v>10</v>
      </c>
      <c r="G15" s="30">
        <v>11</v>
      </c>
      <c r="H15" s="31">
        <v>12</v>
      </c>
      <c r="I15" s="31">
        <v>13</v>
      </c>
    </row>
    <row r="16" spans="3:16">
      <c r="C16" s="31">
        <v>14</v>
      </c>
      <c r="D16" s="31">
        <v>15</v>
      </c>
      <c r="E16" s="31">
        <v>16</v>
      </c>
      <c r="F16" s="31">
        <v>17</v>
      </c>
      <c r="G16" s="31">
        <v>18</v>
      </c>
      <c r="H16" s="31">
        <v>19</v>
      </c>
      <c r="I16" s="31">
        <v>20</v>
      </c>
    </row>
    <row r="17" spans="3:11">
      <c r="C17" s="31">
        <v>21</v>
      </c>
      <c r="D17" s="31">
        <v>22</v>
      </c>
      <c r="E17" s="31">
        <v>23</v>
      </c>
      <c r="F17" s="31">
        <v>24</v>
      </c>
      <c r="G17" s="31">
        <v>25</v>
      </c>
      <c r="H17" s="31">
        <v>26</v>
      </c>
      <c r="I17" s="31">
        <v>27</v>
      </c>
    </row>
    <row r="18" spans="3:11">
      <c r="C18" s="31">
        <v>28</v>
      </c>
      <c r="D18" s="31">
        <v>29</v>
      </c>
      <c r="E18" s="31">
        <v>30</v>
      </c>
      <c r="F18" s="10"/>
      <c r="G18" s="10"/>
      <c r="H18" s="10"/>
      <c r="I18" s="10"/>
      <c r="K18">
        <v>19</v>
      </c>
    </row>
    <row r="20" spans="3:11">
      <c r="C20" t="s">
        <v>78</v>
      </c>
    </row>
    <row r="21" spans="3:11">
      <c r="C21" s="11" t="s">
        <v>62</v>
      </c>
      <c r="D21" s="11" t="s">
        <v>63</v>
      </c>
      <c r="E21" s="11" t="s">
        <v>64</v>
      </c>
      <c r="F21" s="11" t="s">
        <v>65</v>
      </c>
      <c r="G21" s="11" t="s">
        <v>66</v>
      </c>
      <c r="H21" s="11" t="s">
        <v>67</v>
      </c>
      <c r="I21" s="11" t="s">
        <v>68</v>
      </c>
    </row>
    <row r="22" spans="3:11">
      <c r="C22" s="10"/>
      <c r="D22" s="10"/>
      <c r="E22" s="10"/>
      <c r="F22" s="31">
        <v>1</v>
      </c>
      <c r="G22" s="31">
        <v>2</v>
      </c>
      <c r="H22" s="31">
        <v>3</v>
      </c>
      <c r="I22" s="31">
        <v>4</v>
      </c>
    </row>
    <row r="23" spans="3:11">
      <c r="C23" s="31">
        <v>5</v>
      </c>
      <c r="D23" s="31">
        <v>6</v>
      </c>
      <c r="E23" s="19">
        <v>7</v>
      </c>
      <c r="F23" s="19">
        <v>8</v>
      </c>
      <c r="G23" s="19">
        <v>9</v>
      </c>
      <c r="H23" s="19">
        <v>10</v>
      </c>
      <c r="I23" s="19">
        <v>11</v>
      </c>
    </row>
    <row r="24" spans="3:11">
      <c r="C24" s="19">
        <v>12</v>
      </c>
      <c r="D24" s="19">
        <v>13</v>
      </c>
      <c r="E24" s="19">
        <v>14</v>
      </c>
      <c r="F24" s="19">
        <v>15</v>
      </c>
      <c r="G24" s="19">
        <v>16</v>
      </c>
      <c r="H24" s="19">
        <v>17</v>
      </c>
      <c r="I24" s="19">
        <v>18</v>
      </c>
    </row>
    <row r="25" spans="3:11">
      <c r="C25" s="19">
        <v>19</v>
      </c>
      <c r="D25" s="19">
        <v>20</v>
      </c>
      <c r="E25" s="19">
        <v>21</v>
      </c>
      <c r="F25" s="19">
        <v>22</v>
      </c>
      <c r="G25" s="19">
        <v>23</v>
      </c>
      <c r="H25" s="19">
        <v>24</v>
      </c>
      <c r="I25" s="19">
        <v>25</v>
      </c>
    </row>
    <row r="26" spans="3:11">
      <c r="C26" s="19">
        <v>26</v>
      </c>
      <c r="D26" s="19">
        <v>27</v>
      </c>
      <c r="E26" s="19">
        <v>28</v>
      </c>
      <c r="F26" s="19">
        <v>29</v>
      </c>
      <c r="G26" s="19">
        <v>30</v>
      </c>
      <c r="H26" s="19">
        <v>31</v>
      </c>
      <c r="I26" s="11"/>
      <c r="K26">
        <v>31</v>
      </c>
    </row>
    <row r="30" spans="3:11">
      <c r="C30" t="s">
        <v>79</v>
      </c>
    </row>
    <row r="31" spans="3:11">
      <c r="C31" s="11" t="s">
        <v>62</v>
      </c>
      <c r="D31" s="11" t="s">
        <v>63</v>
      </c>
      <c r="E31" s="11" t="s">
        <v>64</v>
      </c>
      <c r="F31" s="11" t="s">
        <v>65</v>
      </c>
      <c r="G31" s="11" t="s">
        <v>66</v>
      </c>
      <c r="H31" s="11" t="s">
        <v>67</v>
      </c>
      <c r="I31" s="11" t="s">
        <v>68</v>
      </c>
    </row>
    <row r="32" spans="3:11">
      <c r="C32" s="10"/>
      <c r="D32" s="10"/>
      <c r="E32" s="10"/>
      <c r="F32" s="10"/>
      <c r="G32" s="10"/>
      <c r="H32" s="10"/>
      <c r="I32" s="19">
        <v>1</v>
      </c>
      <c r="K32">
        <v>31</v>
      </c>
    </row>
    <row r="33" spans="3:9">
      <c r="C33" s="19">
        <v>2</v>
      </c>
      <c r="D33" s="37">
        <v>3</v>
      </c>
      <c r="E33" s="37">
        <v>4</v>
      </c>
      <c r="F33" s="37">
        <v>5</v>
      </c>
      <c r="G33" s="37">
        <v>6</v>
      </c>
      <c r="H33" s="37">
        <v>7</v>
      </c>
      <c r="I33" s="37">
        <v>8</v>
      </c>
    </row>
    <row r="34" spans="3:9">
      <c r="C34" s="37">
        <v>9</v>
      </c>
      <c r="D34" s="37">
        <v>10</v>
      </c>
      <c r="E34" s="37">
        <v>11</v>
      </c>
      <c r="F34" s="37">
        <v>12</v>
      </c>
      <c r="G34" s="37">
        <v>13</v>
      </c>
      <c r="H34" s="37">
        <v>14</v>
      </c>
      <c r="I34" s="37">
        <v>15</v>
      </c>
    </row>
    <row r="35" spans="3:9">
      <c r="C35" s="37">
        <v>16</v>
      </c>
      <c r="D35" s="37">
        <v>17</v>
      </c>
      <c r="E35" s="37">
        <v>18</v>
      </c>
      <c r="F35" s="37">
        <v>19</v>
      </c>
      <c r="G35" s="37">
        <v>20</v>
      </c>
      <c r="H35" s="37">
        <v>21</v>
      </c>
      <c r="I35" s="37">
        <v>22</v>
      </c>
    </row>
    <row r="36" spans="3:9">
      <c r="C36" s="37">
        <v>23</v>
      </c>
      <c r="D36" s="37">
        <v>24</v>
      </c>
      <c r="E36" s="37">
        <v>25</v>
      </c>
      <c r="F36" s="37">
        <v>26</v>
      </c>
      <c r="G36" s="37">
        <v>27</v>
      </c>
      <c r="H36" s="34">
        <v>28</v>
      </c>
      <c r="I36" s="34">
        <v>29</v>
      </c>
    </row>
    <row r="37" spans="3:9">
      <c r="C37" s="34">
        <v>30</v>
      </c>
      <c r="D37" s="34">
        <v>31</v>
      </c>
      <c r="E37" s="36">
        <v>1</v>
      </c>
      <c r="F37" s="36">
        <v>2</v>
      </c>
      <c r="G37" s="36">
        <v>3</v>
      </c>
      <c r="H37" s="35">
        <v>4</v>
      </c>
      <c r="I37" s="32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F4C71-EC53-4AC7-B05F-AE75E87F0C1C}">
  <dimension ref="A1:C5"/>
  <sheetViews>
    <sheetView workbookViewId="0">
      <selection activeCell="C6" sqref="C6"/>
    </sheetView>
  </sheetViews>
  <sheetFormatPr defaultRowHeight="18.75"/>
  <cols>
    <col min="1" max="1" width="8.25" bestFit="1" customWidth="1"/>
    <col min="2" max="2" width="6.25" bestFit="1" customWidth="1"/>
    <col min="3" max="3" width="127.25" bestFit="1" customWidth="1"/>
  </cols>
  <sheetData>
    <row r="1" spans="1:3">
      <c r="A1" t="s">
        <v>119</v>
      </c>
      <c r="B1" t="s">
        <v>120</v>
      </c>
      <c r="C1" t="s">
        <v>121</v>
      </c>
    </row>
    <row r="2" spans="1:3">
      <c r="A2" s="1">
        <v>46166</v>
      </c>
      <c r="B2" t="s">
        <v>122</v>
      </c>
      <c r="C2" t="s">
        <v>123</v>
      </c>
    </row>
    <row r="3" spans="1:3">
      <c r="A3" s="1">
        <v>46167</v>
      </c>
      <c r="B3" t="s">
        <v>124</v>
      </c>
      <c r="C3" t="s">
        <v>125</v>
      </c>
    </row>
    <row r="4" spans="1:3">
      <c r="A4" s="1"/>
      <c r="C4" t="s">
        <v>144</v>
      </c>
    </row>
    <row r="5" spans="1:3">
      <c r="C5" t="s">
        <v>145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696AB-2B42-42A5-B99F-E70A812D4095}">
  <dimension ref="B2:D20"/>
  <sheetViews>
    <sheetView workbookViewId="0">
      <selection activeCell="C20" sqref="C20"/>
    </sheetView>
  </sheetViews>
  <sheetFormatPr defaultRowHeight="18.75"/>
  <cols>
    <col min="2" max="2" width="42.75" bestFit="1" customWidth="1"/>
    <col min="3" max="3" width="25.375" bestFit="1" customWidth="1"/>
    <col min="4" max="4" width="15.125" bestFit="1" customWidth="1"/>
    <col min="5" max="5" width="15" bestFit="1" customWidth="1"/>
  </cols>
  <sheetData>
    <row r="2" spans="2:4">
      <c r="B2" t="s">
        <v>118</v>
      </c>
      <c r="C2" t="s">
        <v>127</v>
      </c>
      <c r="D2" t="s">
        <v>128</v>
      </c>
    </row>
    <row r="3" spans="2:4">
      <c r="D3" t="s">
        <v>129</v>
      </c>
    </row>
    <row r="4" spans="2:4">
      <c r="B4" t="s">
        <v>126</v>
      </c>
      <c r="D4" t="s">
        <v>130</v>
      </c>
    </row>
    <row r="7" spans="2:4">
      <c r="B7" t="s">
        <v>131</v>
      </c>
    </row>
    <row r="9" spans="2:4">
      <c r="B9" t="s">
        <v>139</v>
      </c>
    </row>
    <row r="10" spans="2:4">
      <c r="B10" t="s">
        <v>140</v>
      </c>
      <c r="D10" t="s">
        <v>184</v>
      </c>
    </row>
    <row r="11" spans="2:4">
      <c r="B11" t="s">
        <v>141</v>
      </c>
      <c r="D11" t="s">
        <v>185</v>
      </c>
    </row>
    <row r="12" spans="2:4">
      <c r="D12" t="s">
        <v>186</v>
      </c>
    </row>
    <row r="13" spans="2:4">
      <c r="B13" t="s">
        <v>142</v>
      </c>
      <c r="D13" t="s">
        <v>187</v>
      </c>
    </row>
    <row r="14" spans="2:4">
      <c r="B14" t="s">
        <v>143</v>
      </c>
      <c r="D14" t="s">
        <v>188</v>
      </c>
    </row>
    <row r="15" spans="2:4">
      <c r="D15" t="s">
        <v>189</v>
      </c>
    </row>
    <row r="17" spans="2:4">
      <c r="B17" t="s">
        <v>183</v>
      </c>
      <c r="D17" t="s">
        <v>199</v>
      </c>
    </row>
    <row r="18" spans="2:4">
      <c r="B18" t="s">
        <v>261</v>
      </c>
    </row>
    <row r="19" spans="2:4">
      <c r="B19" t="s">
        <v>262</v>
      </c>
    </row>
    <row r="20" spans="2:4">
      <c r="B20" t="s">
        <v>190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98AC8-7610-4AC5-B6A1-107905495902}">
  <dimension ref="A1:G22"/>
  <sheetViews>
    <sheetView workbookViewId="0">
      <selection activeCell="F23" sqref="F23"/>
    </sheetView>
  </sheetViews>
  <sheetFormatPr defaultRowHeight="18.75"/>
  <sheetData>
    <row r="1" spans="1:7">
      <c r="A1" s="42"/>
      <c r="B1" s="43"/>
      <c r="C1" s="43"/>
      <c r="D1" s="43"/>
      <c r="E1" s="43"/>
      <c r="F1" s="43"/>
      <c r="G1" s="44"/>
    </row>
    <row r="2" spans="1:7">
      <c r="A2" s="45"/>
      <c r="G2" s="46"/>
    </row>
    <row r="3" spans="1:7">
      <c r="A3" s="45"/>
      <c r="C3" t="s">
        <v>239</v>
      </c>
      <c r="G3" s="46"/>
    </row>
    <row r="4" spans="1:7">
      <c r="A4" s="45"/>
      <c r="C4" t="s">
        <v>91</v>
      </c>
      <c r="G4" s="46"/>
    </row>
    <row r="5" spans="1:7">
      <c r="A5" s="45"/>
      <c r="C5" t="s">
        <v>240</v>
      </c>
      <c r="G5" s="46"/>
    </row>
    <row r="6" spans="1:7">
      <c r="A6" s="45"/>
      <c r="C6" t="s">
        <v>242</v>
      </c>
      <c r="G6" s="46"/>
    </row>
    <row r="7" spans="1:7">
      <c r="A7" s="45"/>
      <c r="C7" t="s">
        <v>248</v>
      </c>
      <c r="G7" s="46"/>
    </row>
    <row r="8" spans="1:7">
      <c r="A8" s="45"/>
      <c r="G8" s="46"/>
    </row>
    <row r="9" spans="1:7">
      <c r="A9" s="45"/>
      <c r="B9" t="s">
        <v>241</v>
      </c>
      <c r="D9" t="s">
        <v>243</v>
      </c>
      <c r="F9" t="s">
        <v>246</v>
      </c>
      <c r="G9" s="46"/>
    </row>
    <row r="10" spans="1:7">
      <c r="A10" s="45"/>
      <c r="B10" t="s">
        <v>91</v>
      </c>
      <c r="D10" t="s">
        <v>244</v>
      </c>
      <c r="F10" t="s">
        <v>247</v>
      </c>
      <c r="G10" s="46"/>
    </row>
    <row r="11" spans="1:7">
      <c r="A11" s="45"/>
      <c r="B11" t="s">
        <v>240</v>
      </c>
      <c r="D11" t="s">
        <v>245</v>
      </c>
      <c r="F11" t="s">
        <v>85</v>
      </c>
      <c r="G11" s="46"/>
    </row>
    <row r="12" spans="1:7">
      <c r="A12" s="45"/>
      <c r="B12" t="s">
        <v>242</v>
      </c>
      <c r="D12" t="s">
        <v>242</v>
      </c>
      <c r="F12" t="s">
        <v>242</v>
      </c>
      <c r="G12" s="46"/>
    </row>
    <row r="13" spans="1:7">
      <c r="A13" s="45"/>
      <c r="B13" t="s">
        <v>248</v>
      </c>
      <c r="D13" t="s">
        <v>240</v>
      </c>
      <c r="F13" t="s">
        <v>240</v>
      </c>
      <c r="G13" s="46"/>
    </row>
    <row r="14" spans="1:7" ht="19.5" thickBot="1">
      <c r="A14" s="47"/>
      <c r="B14" s="48"/>
      <c r="C14" s="48"/>
      <c r="D14" s="48" t="s">
        <v>248</v>
      </c>
      <c r="E14" s="48"/>
      <c r="F14" s="48" t="s">
        <v>248</v>
      </c>
      <c r="G14" s="49"/>
    </row>
    <row r="17" spans="2:6">
      <c r="B17" t="s">
        <v>249</v>
      </c>
      <c r="D17" t="s">
        <v>252</v>
      </c>
    </row>
    <row r="18" spans="2:6">
      <c r="B18" t="s">
        <v>102</v>
      </c>
      <c r="D18" t="s">
        <v>251</v>
      </c>
    </row>
    <row r="19" spans="2:6">
      <c r="B19" t="s">
        <v>91</v>
      </c>
      <c r="D19" t="s">
        <v>253</v>
      </c>
    </row>
    <row r="20" spans="2:6">
      <c r="B20" t="s">
        <v>250</v>
      </c>
      <c r="D20" t="s">
        <v>254</v>
      </c>
    </row>
    <row r="21" spans="2:6">
      <c r="B21" t="s">
        <v>146</v>
      </c>
    </row>
    <row r="22" spans="2:6">
      <c r="D22" t="s">
        <v>255</v>
      </c>
      <c r="F22" t="s">
        <v>256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2B08E-4005-4196-B3E0-F413A5A01C4A}">
  <dimension ref="A1:AK22"/>
  <sheetViews>
    <sheetView workbookViewId="0">
      <selection activeCell="F6" sqref="F6"/>
    </sheetView>
  </sheetViews>
  <sheetFormatPr defaultColWidth="4" defaultRowHeight="18.75"/>
  <sheetData>
    <row r="1" spans="1:33">
      <c r="M1" t="s">
        <v>150</v>
      </c>
      <c r="T1" t="s">
        <v>164</v>
      </c>
      <c r="AE1" t="s">
        <v>177</v>
      </c>
    </row>
    <row r="2" spans="1:33">
      <c r="B2" s="41" t="s">
        <v>206</v>
      </c>
      <c r="C2" s="41"/>
      <c r="D2" s="41"/>
      <c r="E2" s="41"/>
      <c r="M2" t="s">
        <v>151</v>
      </c>
      <c r="AE2" t="s">
        <v>192</v>
      </c>
    </row>
    <row r="3" spans="1:33">
      <c r="B3" t="s">
        <v>146</v>
      </c>
      <c r="M3" t="s">
        <v>152</v>
      </c>
      <c r="R3" t="s">
        <v>198</v>
      </c>
      <c r="AE3" t="s">
        <v>178</v>
      </c>
      <c r="AG3" t="s">
        <v>193</v>
      </c>
    </row>
    <row r="4" spans="1:33">
      <c r="B4" t="s">
        <v>147</v>
      </c>
      <c r="M4" t="s">
        <v>191</v>
      </c>
      <c r="AE4" t="s">
        <v>179</v>
      </c>
    </row>
    <row r="5" spans="1:33">
      <c r="B5" t="s">
        <v>91</v>
      </c>
      <c r="M5" t="s">
        <v>153</v>
      </c>
      <c r="AE5" t="s">
        <v>180</v>
      </c>
    </row>
    <row r="6" spans="1:33">
      <c r="B6" t="s">
        <v>148</v>
      </c>
      <c r="M6" t="s">
        <v>154</v>
      </c>
      <c r="AE6" t="s">
        <v>181</v>
      </c>
    </row>
    <row r="7" spans="1:33">
      <c r="B7" t="s">
        <v>149</v>
      </c>
      <c r="M7" t="s">
        <v>155</v>
      </c>
      <c r="R7" t="s">
        <v>163</v>
      </c>
      <c r="AE7" t="s">
        <v>182</v>
      </c>
    </row>
    <row r="8" spans="1:33">
      <c r="B8" t="s">
        <v>97</v>
      </c>
      <c r="M8" t="s">
        <v>99</v>
      </c>
    </row>
    <row r="10" spans="1:33">
      <c r="AE10" t="s">
        <v>196</v>
      </c>
    </row>
    <row r="11" spans="1:33">
      <c r="M11" t="s">
        <v>169</v>
      </c>
    </row>
    <row r="12" spans="1:33">
      <c r="M12" t="s">
        <v>170</v>
      </c>
      <c r="AE12" t="s">
        <v>195</v>
      </c>
    </row>
    <row r="13" spans="1:33">
      <c r="B13" t="s">
        <v>49</v>
      </c>
      <c r="M13" t="s">
        <v>175</v>
      </c>
    </row>
    <row r="14" spans="1:33">
      <c r="A14" t="s">
        <v>157</v>
      </c>
      <c r="B14" t="s">
        <v>156</v>
      </c>
      <c r="D14" t="s">
        <v>158</v>
      </c>
    </row>
    <row r="15" spans="1:33">
      <c r="D15" t="s">
        <v>194</v>
      </c>
      <c r="M15" t="s">
        <v>171</v>
      </c>
    </row>
    <row r="16" spans="1:33">
      <c r="M16" t="s">
        <v>172</v>
      </c>
      <c r="AF16" s="40" t="s">
        <v>200</v>
      </c>
      <c r="AG16" s="40"/>
    </row>
    <row r="17" spans="2:37">
      <c r="B17" t="s">
        <v>159</v>
      </c>
      <c r="F17" t="s">
        <v>160</v>
      </c>
      <c r="M17" t="s">
        <v>176</v>
      </c>
      <c r="AF17" t="s">
        <v>201</v>
      </c>
      <c r="AK17" t="s">
        <v>203</v>
      </c>
    </row>
    <row r="18" spans="2:37">
      <c r="M18" t="s">
        <v>173</v>
      </c>
      <c r="AF18" t="s">
        <v>202</v>
      </c>
    </row>
    <row r="19" spans="2:37">
      <c r="B19" t="s">
        <v>162</v>
      </c>
      <c r="D19" t="s">
        <v>160</v>
      </c>
      <c r="M19" t="s">
        <v>174</v>
      </c>
      <c r="AF19" t="s">
        <v>204</v>
      </c>
    </row>
    <row r="20" spans="2:37">
      <c r="AF20" t="s">
        <v>193</v>
      </c>
    </row>
    <row r="21" spans="2:37">
      <c r="B21" t="s">
        <v>161</v>
      </c>
      <c r="D21" t="s">
        <v>160</v>
      </c>
    </row>
    <row r="22" spans="2:37">
      <c r="M22" t="s">
        <v>197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F96B1-EBF5-4BB2-93CD-A0906537FC8C}">
  <dimension ref="C2:X16"/>
  <sheetViews>
    <sheetView workbookViewId="0">
      <selection activeCell="S20" sqref="S20"/>
    </sheetView>
  </sheetViews>
  <sheetFormatPr defaultColWidth="3.875" defaultRowHeight="18.75"/>
  <cols>
    <col min="25" max="25" width="3.625" customWidth="1"/>
  </cols>
  <sheetData>
    <row r="2" spans="3:24">
      <c r="C2" s="41" t="s">
        <v>205</v>
      </c>
      <c r="D2" s="41"/>
      <c r="E2" s="41"/>
      <c r="Q2" t="s">
        <v>207</v>
      </c>
    </row>
    <row r="4" spans="3:24">
      <c r="C4" t="s">
        <v>225</v>
      </c>
      <c r="Q4" t="s">
        <v>223</v>
      </c>
    </row>
    <row r="5" spans="3:24">
      <c r="C5" t="s">
        <v>224</v>
      </c>
      <c r="I5" t="s">
        <v>236</v>
      </c>
      <c r="Q5" t="s">
        <v>234</v>
      </c>
    </row>
    <row r="6" spans="3:24">
      <c r="C6" t="s">
        <v>235</v>
      </c>
      <c r="I6" t="s">
        <v>237</v>
      </c>
      <c r="Q6" t="s">
        <v>208</v>
      </c>
      <c r="S6" t="s">
        <v>209</v>
      </c>
    </row>
    <row r="7" spans="3:24">
      <c r="Q7" t="s">
        <v>210</v>
      </c>
    </row>
    <row r="8" spans="3:24">
      <c r="C8" t="s">
        <v>227</v>
      </c>
      <c r="Q8" t="s">
        <v>211</v>
      </c>
    </row>
    <row r="9" spans="3:24">
      <c r="C9" t="s">
        <v>231</v>
      </c>
      <c r="I9" t="s">
        <v>237</v>
      </c>
      <c r="Q9" t="s">
        <v>229</v>
      </c>
      <c r="X9" t="s">
        <v>230</v>
      </c>
    </row>
    <row r="10" spans="3:24">
      <c r="C10" t="s">
        <v>226</v>
      </c>
      <c r="Q10" t="s">
        <v>212</v>
      </c>
    </row>
    <row r="11" spans="3:24">
      <c r="C11" t="s">
        <v>228</v>
      </c>
      <c r="I11" t="s">
        <v>236</v>
      </c>
      <c r="Q11" t="s">
        <v>213</v>
      </c>
    </row>
    <row r="12" spans="3:24">
      <c r="Q12" t="s">
        <v>214</v>
      </c>
    </row>
    <row r="13" spans="3:24">
      <c r="C13" t="s">
        <v>232</v>
      </c>
      <c r="Q13" t="s">
        <v>215</v>
      </c>
      <c r="S13" t="s">
        <v>216</v>
      </c>
    </row>
    <row r="14" spans="3:24">
      <c r="C14" t="s">
        <v>233</v>
      </c>
      <c r="I14" t="s">
        <v>238</v>
      </c>
      <c r="Q14" t="s">
        <v>217</v>
      </c>
      <c r="S14" t="s">
        <v>218</v>
      </c>
    </row>
    <row r="15" spans="3:24">
      <c r="Q15" t="s">
        <v>219</v>
      </c>
      <c r="R15" t="s">
        <v>220</v>
      </c>
    </row>
    <row r="16" spans="3:24">
      <c r="Q16" t="s">
        <v>221</v>
      </c>
      <c r="S16" t="s">
        <v>222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1947F-A3A0-4027-965D-A484FB7F3C32}">
  <dimension ref="C1:AG9"/>
  <sheetViews>
    <sheetView tabSelected="1" topLeftCell="A13" zoomScale="70" zoomScaleNormal="70" workbookViewId="0">
      <selection activeCell="BD18" sqref="BD18"/>
    </sheetView>
  </sheetViews>
  <sheetFormatPr defaultColWidth="4.125" defaultRowHeight="18.75"/>
  <sheetData>
    <row r="1" spans="3:33" ht="19.5" thickBot="1"/>
    <row r="2" spans="3:33">
      <c r="C2" t="s">
        <v>168</v>
      </c>
      <c r="AE2" s="42" t="s">
        <v>258</v>
      </c>
      <c r="AF2" s="43"/>
      <c r="AG2" s="44"/>
    </row>
    <row r="3" spans="3:33">
      <c r="AE3" s="45" t="s">
        <v>259</v>
      </c>
      <c r="AG3" s="46"/>
    </row>
    <row r="4" spans="3:33" ht="19.5" thickBot="1">
      <c r="AE4" s="47" t="s">
        <v>260</v>
      </c>
      <c r="AF4" s="48"/>
      <c r="AG4" s="49"/>
    </row>
    <row r="9" spans="3:33">
      <c r="AE9" t="s">
        <v>257</v>
      </c>
    </row>
  </sheetData>
  <phoneticPr fontId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14457C4DEF6B04C80335F04D9CFE9B8" ma:contentTypeVersion="15" ma:contentTypeDescription="新しいドキュメントを作成します。" ma:contentTypeScope="" ma:versionID="384833ccc4364158daff1dfa93252050">
  <xsd:schema xmlns:xsd="http://www.w3.org/2001/XMLSchema" xmlns:xs="http://www.w3.org/2001/XMLSchema" xmlns:p="http://schemas.microsoft.com/office/2006/metadata/properties" xmlns:ns2="42b7366e-3919-4bb8-9917-4115af4f71f0" xmlns:ns3="3fed6739-56b2-4f96-bdeb-921328dde709" targetNamespace="http://schemas.microsoft.com/office/2006/metadata/properties" ma:root="true" ma:fieldsID="8d3663068ba8e99c0b99c921911a4360" ns2:_="" ns3:_="">
    <xsd:import namespace="42b7366e-3919-4bb8-9917-4115af4f71f0"/>
    <xsd:import namespace="3fed6739-56b2-4f96-bdeb-921328dde7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DateTaken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2b7366e-3919-4bb8-9917-4115af4f71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ed6739-56b2-4f96-bdeb-921328dde7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33731c5-1d9c-498f-8754-23ebfc73d042}" ma:internalName="TaxCatchAll" ma:showField="CatchAllData" ma:web="3fed6739-56b2-4f96-bdeb-921328dde7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fed6739-56b2-4f96-bdeb-921328dde709" xsi:nil="true"/>
    <lcf76f155ced4ddcb4097134ff3c332f xmlns="42b7366e-3919-4bb8-9917-4115af4f71f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BF17534-2B47-4857-AC25-7C99424F8AA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B0A0972-5393-459A-8603-138D87B701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2b7366e-3919-4bb8-9917-4115af4f71f0"/>
    <ds:schemaRef ds:uri="3fed6739-56b2-4f96-bdeb-921328dde7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02E9DAB-F6A4-45C4-BAF5-BF43C147BB10}">
  <ds:schemaRefs>
    <ds:schemaRef ds:uri="http://schemas.microsoft.com/office/2006/metadata/properties"/>
    <ds:schemaRef ds:uri="http://schemas.microsoft.com/office/infopath/2007/PartnerControls"/>
    <ds:schemaRef ds:uri="3fed6739-56b2-4f96-bdeb-921328dde709"/>
    <ds:schemaRef ds:uri="42b7366e-3919-4bb8-9917-4115af4f71f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概要</vt:lpstr>
      <vt:lpstr>作業工数見積もり</vt:lpstr>
      <vt:lpstr>カレンダー</vt:lpstr>
      <vt:lpstr>日記</vt:lpstr>
      <vt:lpstr>メモ</vt:lpstr>
      <vt:lpstr>雑用</vt:lpstr>
      <vt:lpstr>仕様書①</vt:lpstr>
      <vt:lpstr>仕様書②</vt:lpstr>
      <vt:lpstr>クラス設計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平尾　泰稀</cp:lastModifiedBy>
  <cp:revision/>
  <dcterms:created xsi:type="dcterms:W3CDTF">2015-06-05T18:19:34Z</dcterms:created>
  <dcterms:modified xsi:type="dcterms:W3CDTF">2026-06-15T09:58:03Z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0x010100914457C4DEF6B04C80335F04D9CFE9B8</vt:lpwstr>
  </property>
  <property fmtid="{D5CDD505-2E9C-101B-9397-08002B2CF9AE}" pid="3" name="MediaServiceImageTags">
    <vt:lpwstr/>
  </property>
</Properties>
</file>