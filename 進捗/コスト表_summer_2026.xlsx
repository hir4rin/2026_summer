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t_hirao\Documents\GitHub\2026_summer\進捗\"/>
    </mc:Choice>
  </mc:AlternateContent>
  <xr:revisionPtr revIDLastSave="0" documentId="13_ncr:1_{2EDB9E1E-EA22-46CF-BA13-D67F776A6414}" xr6:coauthVersionLast="47" xr6:coauthVersionMax="47" xr10:uidLastSave="{00000000-0000-0000-0000-000000000000}"/>
  <bookViews>
    <workbookView xWindow="2760" yWindow="2475" windowWidth="21600" windowHeight="11295" firstSheet="2" activeTab="3" xr2:uid="{00000000-000D-0000-FFFF-FFFF00000000}"/>
  </bookViews>
  <sheets>
    <sheet name="概要" sheetId="5" r:id="rId1"/>
    <sheet name="作業工数見積もり" sheetId="1" r:id="rId2"/>
    <sheet name="カレンダー" sheetId="6" r:id="rId3"/>
    <sheet name="日記" sheetId="12" r:id="rId4"/>
    <sheet name="インターン中気になったこと" sheetId="18" r:id="rId5"/>
    <sheet name="フィードバック" sheetId="19" r:id="rId6"/>
    <sheet name="Sheet1" sheetId="16" r:id="rId7"/>
    <sheet name="メモ" sheetId="9" r:id="rId8"/>
    <sheet name="雑用" sheetId="10" r:id="rId9"/>
    <sheet name="仕様書①" sheetId="13" r:id="rId10"/>
    <sheet name="仕様書②" sheetId="15" r:id="rId11"/>
    <sheet name="クラス設計" sheetId="14" r:id="rId12"/>
    <sheet name="Sheet2" sheetId="17" r:id="rId13"/>
  </sheets>
  <definedNames>
    <definedName name="_xlnm._FilterDatabase" localSheetId="1" hidden="1">作業工数見積もり!$B$2:$G$57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<sst xmlns="http://schemas.openxmlformats.org/spreadsheetml/2006/main" count="898" uniqueCount="637">
  <si>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</si>
  <si>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</si>
  <si>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</si>
  <si>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</si>
  <si>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</si>
  <si>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</si>
  <si>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</si>
  <si>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</si>
  <si>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</si>
  <si>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</si>
  <si>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</si>
  <si>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</si>
  <si>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</si>
  <si>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</si>
  <si>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</si>
  <si>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</si>
  <si>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</si>
  <si>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</si>
  <si>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</si>
  <si>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</si>
  <si>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</si>
  <si>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</si>
  <si>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</si>
  <si>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</si>
  <si>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</si>
  <si>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</si>
  <si>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</si>
  <si>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</si>
  <si>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</si>
  <si>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</si>
  <si>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</si>
  <si>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</si>
  <si>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</si>
  <si>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</si>
  <si>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</si>
  <si>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</si>
  <si>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</si>
  <si>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</si>
  <si>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</si>
  <si>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</si>
  <si>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</si>
  <si>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</si>
  <si>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</si>
  <si>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</si>
  <si>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</si>
  <si>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</si>
  <si>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</si>
  <si>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</si>
  <si>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</si>
  <si>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</si>
  <si>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</si>
  <si>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</si>
  <si>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</si>
  <si>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</si>
  <si>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</si>
  <si>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</si>
  <si>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</si>
  <si>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</si>
  <si>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</si>
  <si>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</si>
  <si>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</si>
  <si>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</si>
  <si>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</si>
  <si>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</si>
  <si>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</si>
  <si>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</si>
  <si>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</si>
  <si>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</si>
  <si>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</si>
  <si>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</si>
  <si>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</si>
  <si>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</si>
  <si>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</si>
  <si>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</si>
  <si>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</si>
  <si>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</si>
  <si>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</si>
  <si>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</si>
  <si>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</si>
  <si>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</si>
  <si>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</si>
  <si>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</si>
  <si>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</si>
  <si>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</si>
  <si>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</si>
  <si>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</si>
  <si>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</si>
  <si>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</si>
  <si>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</si>
  <si>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</si>
  <si>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</si>
  <si>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</si>
  <si>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</si>
  <si>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</si>
  <si>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</si>
  <si>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</si>
  <si>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</si>
  <si>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</si>
  <si>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</si>
  <si>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</si>
  <si>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</si>
  <si>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</si>
  <si>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</si>
  <si>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</si>
  <si>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</si>
  <si>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</si>
  <si>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</si>
  <si>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</si>
  <si>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</si>
  <si>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</si>
  <si>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</si>
  <si>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</si>
  <si>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</si>
  <si>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</si>
  <si>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</si>
  <si>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</si>
  <si>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</si>
  <si>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</si>
  <si>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</si>
  <si>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</si>
  <si>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</si>
  <si>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</si>
  <si>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</si>
  <si>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</si>
  <si>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</si>
  <si>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</si>
  <si>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</si>
  <si>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</si>
  <si>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</si>
  <si>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</si>
  <si>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</si>
  <si>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</si>
  <si>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</si>
  <si>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</si>
  <si>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</si>
  <si>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</si>
  <si>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</si>
  <si>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</si>
  <si>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</si>
  <si>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</si>
  <si>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</si>
  <si>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</si>
  <si>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</si>
  <si>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</si>
  <si>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</si>
  <si>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</si>
  <si>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</si>
  <si>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</si>
  <si>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</si>
  <si>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</si>
  <si>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</si>
  <si>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</si>
  <si>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</si>
  <si>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</si>
  <si>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</si>
  <si>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</si>
  <si>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</si>
  <si>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</si>
  <si>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</si>
  <si>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</si>
  <si>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</si>
  <si>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</si>
  <si>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</si>
  <si>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</si>
  <si>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</si>
  <si>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</si>
  <si>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</si>
  <si>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</si>
  <si>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</si>
  <si>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</si>
  <si>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</si>
  <si>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</si>
  <si>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</si>
  <si>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</si>
  <si>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</si>
  <si>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</si>
  <si>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</si>
  <si>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</si>
  <si>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</si>
  <si>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</si>
  <si>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</si>
  <si>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</si>
  <si>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</si>
  <si>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</si>
  <si>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</si>
  <si>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</si>
  <si>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</si>
  <si>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</si>
  <si>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</si>
  <si>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</si>
  <si>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</si>
  <si>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</si>
  <si>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</si>
  <si>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</si>
  <si>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</si>
  <si>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</si>
  <si>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</si>
  <si>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</si>
  <si>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</si>
  <si>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</si>
  <si>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</si>
  <si>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</si>
  <si>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</si>
  <si>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</si>
  <si>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</si>
  <si>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</si>
  <si>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</si>
  <si>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</si>
  <si>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</si>
  <si>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</si>
  <si>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</si>
  <si>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</si>
  <si>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</si>
  <si>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</si>
  <si>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</si>
  <si>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</si>
  <si>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</si>
  <si>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</si>
  <si>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</si>
  <si>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</si>
  <si>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</si>
  <si>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</si>
  <si>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</si>
  <si>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</si>
  <si>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</si>
  <si>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</si>
  <si>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</si>
  <si>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</si>
  <si>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</si>
  <si>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</si>
  <si>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</si>
  <si>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</si>
  <si>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</si>
  <si>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</si>
  <si>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</si>
  <si>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</si>
  <si>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</si>
  <si>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</si>
  <si>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</si>
  <si>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</si>
  <si>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</si>
  <si>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</si>
  <si>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</si>
  <si>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</si>
  <si>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</si>
  <si>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</si>
  <si>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</si>
  <si>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</si>
  <si>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</si>
  <si>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</si>
  <si>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</si>
  <si>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</si>
  <si>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</si>
  <si>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</si>
  <si>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</si>
  <si>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</si>
  <si>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</si>
  <si>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</si>
  <si>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</si>
  <si>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</si>
  <si>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</si>
  <si>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</si>
  <si>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</si>
  <si>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</si>
  <si>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</si>
  <si>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</si>
  <si>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</si>
  <si>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</si>
  <si>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</si>
  <si>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</si>
  <si>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</si>
  <si>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</si>
  <si>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</si>
  <si>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</si>
  <si>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</si>
  <si>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</si>
  <si>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</si>
  <si>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</si>
  <si>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</si>
  <si>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</si>
  <si>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</si>
  <si>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</si>
  <si>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</si>
  <si>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</si>
  <si>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</si>
  <si>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</si>
  <si>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</si>
  <si>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</si>
  <si>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</si>
  <si>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</si>
  <si>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</si>
  <si>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</si>
  <si>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</si>
  <si>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</si>
  <si>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</si>
  <si>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</si>
  <si>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</si>
  <si>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</si>
  <si>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</si>
  <si>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</si>
  <si>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</si>
  <si>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</si>
  <si>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</si>
  <si>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</si>
  <si>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</si>
  <si>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</si>
  <si>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</si>
  <si>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</si>
  <si>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</si>
  <si>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</si>
  <si>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</si>
  <si>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</si>
  <si>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</si>
  <si>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</si>
  <si>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</si>
  <si>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</si>
  <si>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</si>
  <si>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</si>
  <si>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</si>
  <si>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</si>
  <si>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</si>
  <si>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</si>
  <si>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</si>
  <si>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</si>
  <si>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</si>
  <si>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</si>
  <si>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</si>
  <si>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</si>
  <si>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</si>
  <si>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</si>
  <si>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</si>
  <si>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</si>
  <si>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</si>
  <si>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</si>
  <si>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</si>
  <si>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</si>
  <si>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</si>
  <si>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</si>
  <si>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</si>
  <si>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</si>
  <si>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</si>
  <si>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</si>
  <si>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</si>
  <si>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</si>
  <si>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</si>
  <si>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</si>
  <si>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</si>
  <si>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</si>
  <si>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</si>
  <si>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</si>
  <si>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</si>
  <si>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</si>
  <si>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</si>
  <si>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</si>
  <si>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</si>
  <si>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</si>
  <si>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</si>
  <si>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</si>
  <si>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</si>
  <si>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</si>
  <si>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</si>
  <si>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</si>
  <si>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</si>
  <si>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</si>
  <si>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</si>
  <si>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</si>
  <si>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</si>
  <si>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</si>
  <si>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</si>
  <si>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</si>
  <si>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</si>
  <si>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</si>
  <si>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</si>
  <si>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</si>
  <si>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</si>
  <si>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</si>
  <si>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</si>
  <si>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</si>
  <si>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</si>
  <si>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</si>
  <si>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</si>
  <si>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</si>
  <si>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</si>
  <si>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</si>
  <si>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</si>
  <si>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</si>
  <si>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</si>
  <si>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</si>
  <si>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</si>
  <si>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</si>
  <si>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</si>
  <si>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</si>
  <si>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</si>
  <si>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</si>
  <si>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</si>
  <si>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</si>
  <si>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</si>
  <si>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</si>
  <si>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</si>
  <si>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</si>
  <si>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</si>
  <si>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</si>
  <si>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</si>
  <si>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</si>
  <si>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</si>
  <si>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</si>
  <si>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</si>
  <si>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</si>
  <si>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</si>
  <si>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</si>
  <si>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</si>
  <si>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</si>
  <si>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</si>
  <si>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</si>
  <si>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</si>
  <si>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</si>
  <si>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</si>
  <si>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</si>
  <si>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</si>
  <si>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</si>
  <si>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</si>
  <si>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</si>
  <si>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</si>
  <si>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</si>
  <si>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</si>
  <si>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</si>
  <si>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</si>
  <si>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</si>
  <si>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</si>
  <si>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</si>
  <si>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</si>
  <si>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</si>
  <si>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</si>
  <si>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</si>
  <si>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</si>
  <si>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</si>
  <si>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</si>
  <si>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</si>
  <si>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</si>
  <si>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</si>
  <si>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</si>
  <si>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</si>
  <si>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</si>
  <si>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</si>
  <si>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</si>
  <si>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</si>
  <si>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</si>
  <si>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</si>
  <si>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</si>
  <si>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</si>
  <si>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</si>
  <si>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</si>
  <si>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</si>
  <si>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</si>
  <si>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</si>
  <si>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</si>
  <si>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</si>
  <si>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</si>
  <si>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</si>
  <si>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</si>
  <si>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</si>
  <si>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</si>
  <si>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</si>
  <si>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</si>
  <si>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</si>
  <si>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</si>
  <si>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</si>
  <si>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</si>
  <si>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</si>
  <si>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</si>
  <si>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</si>
  <si>
    <t>キャラクターの移動量を調整する</t>
    <rPh sb="7" eb="10">
      <t>イドウリョウ</t>
    </rPh>
    <rPh sb="11" eb="13">
      <t>チョウセイ</t>
    </rPh>
    <phoneticPr fontId="1"/>
  </si>
  <si>
    <t>24日までにヒットエフェクトを実装する</t>
    <rPh sb="2" eb="3">
      <t>ニチ</t>
    </rPh>
    <rPh sb="15" eb="17">
      <t>ジッソウ</t>
    </rPh>
    <phoneticPr fontId="1"/>
  </si>
  <si>
    <t>24日までにカメラの揺れやヒットストップを実装する</t>
    <rPh sb="2" eb="3">
      <t>ニチ</t>
    </rPh>
    <rPh sb="10" eb="11">
      <t>ユ</t>
    </rPh>
    <rPh sb="21" eb="23">
      <t>ジッソウ</t>
    </rPh>
    <phoneticPr fontId="1"/>
  </si>
  <si>
    <t>敵の移動量を制限する</t>
    <rPh sb="0" eb="1">
      <t>テキ</t>
    </rPh>
    <rPh sb="2" eb="5">
      <t>イドウリョウ</t>
    </rPh>
    <rPh sb="6" eb="8">
      <t>セイゲン</t>
    </rPh>
    <phoneticPr fontId="1"/>
  </si>
  <si>
    <t>攻撃がおそらく単体にしか当たっていない←解決</t>
    <rPh sb="0" eb="2">
      <t>コウゲキ</t>
    </rPh>
    <rPh sb="7" eb="9">
      <t>タンタイ</t>
    </rPh>
    <rPh sb="12" eb="13">
      <t>ア</t>
    </rPh>
    <rPh sb="20" eb="22">
      <t>カイケツ</t>
    </rPh>
    <phoneticPr fontId="1"/>
  </si>
  <si>
    <t>CollisionのOnTrigger、OnPress,OnExitを作る</t>
    <rPh sb="35" eb="36">
      <t>ツク</t>
    </rPh>
    <phoneticPr fontId="1"/>
  </si>
  <si>
    <t>剣のスキルエフェクトを追加する</t>
    <rPh sb="0" eb="1">
      <t>ケン</t>
    </rPh>
    <rPh sb="11" eb="13">
      <t>ツイカ</t>
    </rPh>
    <phoneticPr fontId="1"/>
  </si>
  <si>
    <t>剣のエフェクト三種</t>
    <rPh sb="0" eb="1">
      <t>ケン</t>
    </rPh>
    <rPh sb="7" eb="9">
      <t>サンシュ</t>
    </rPh>
    <phoneticPr fontId="1"/>
  </si>
  <si>
    <t>必殺技のエフェクト1種</t>
    <rPh sb="0" eb="3">
      <t>ヒッサツワザ</t>
    </rPh>
    <rPh sb="10" eb="11">
      <t>シュ</t>
    </rPh>
    <phoneticPr fontId="1"/>
  </si>
  <si>
    <t>削除</t>
    <rPh sb="0" eb="2">
      <t>サクジョ</t>
    </rPh>
    <phoneticPr fontId="1"/>
  </si>
  <si>
    <t>未着手</t>
    <phoneticPr fontId="1"/>
  </si>
  <si>
    <t>問題点</t>
    <rPh sb="0" eb="3">
      <t>モンダイテン</t>
    </rPh>
    <phoneticPr fontId="1"/>
  </si>
  <si>
    <t>内部ターゲットを攻撃の当たった敵に毎回登録しているので、ふくすうの敵に当たった場合、カメラががくがくになる</t>
    <rPh sb="0" eb="2">
      <t>ナイブ</t>
    </rPh>
    <rPh sb="8" eb="10">
      <t>コウゲキ</t>
    </rPh>
    <rPh sb="11" eb="12">
      <t>ア</t>
    </rPh>
    <rPh sb="15" eb="16">
      <t>テキ</t>
    </rPh>
    <rPh sb="17" eb="21">
      <t>マイカイトウロク</t>
    </rPh>
    <rPh sb="33" eb="34">
      <t>テキ</t>
    </rPh>
    <rPh sb="35" eb="36">
      <t>ア</t>
    </rPh>
    <rPh sb="39" eb="41">
      <t>バアイ</t>
    </rPh>
    <phoneticPr fontId="1"/>
  </si>
  <si>
    <t>必殺技の時用に敵のやられエフェクトの白色を作る</t>
    <rPh sb="0" eb="3">
      <t>ヒッサツワザ</t>
    </rPh>
    <rPh sb="4" eb="5">
      <t>トキ</t>
    </rPh>
    <rPh sb="5" eb="6">
      <t>ヨウ</t>
    </rPh>
    <rPh sb="7" eb="8">
      <t>テキ</t>
    </rPh>
    <rPh sb="18" eb="20">
      <t>シロイロ</t>
    </rPh>
    <rPh sb="21" eb="22">
      <t>ツク</t>
    </rPh>
    <phoneticPr fontId="1"/>
  </si>
  <si>
    <t>スキル技のエフェクトを残り二つにつける</t>
    <rPh sb="3" eb="4">
      <t>ワザ</t>
    </rPh>
    <rPh sb="11" eb="12">
      <t>ノコ</t>
    </rPh>
    <rPh sb="13" eb="14">
      <t>フタ</t>
    </rPh>
    <phoneticPr fontId="1"/>
  </si>
  <si>
    <t>ヒットストップなどを外部ファイル化して、ヒットストップ、カメラシェイクするかを業ごとに決める</t>
    <rPh sb="10" eb="12">
      <t>ガイブ</t>
    </rPh>
    <rPh sb="16" eb="17">
      <t>カ</t>
    </rPh>
    <rPh sb="39" eb="40">
      <t>ワザ</t>
    </rPh>
    <rPh sb="43" eb="44">
      <t>キ</t>
    </rPh>
    <phoneticPr fontId="1"/>
  </si>
  <si>
    <t>タイトルシーン、リザルトシーンなどをしっかりとつける</t>
    <phoneticPr fontId="1"/>
  </si>
  <si>
    <t>そのあとは音、SEのベータ作業</t>
    <rPh sb="5" eb="6">
      <t>オト</t>
    </rPh>
    <rPh sb="13" eb="15">
      <t>サギョウ</t>
    </rPh>
    <phoneticPr fontId="1"/>
  </si>
  <si>
    <t>OnTrigger機能の追加完了</t>
    <rPh sb="9" eb="11">
      <t>キノウ</t>
    </rPh>
    <rPh sb="12" eb="16">
      <t>ツイカカンリョウ</t>
    </rPh>
    <phoneticPr fontId="1"/>
  </si>
  <si>
    <t>だいぶさぼって進捗おそい</t>
    <rPh sb="7" eb="9">
      <t>シンチョク</t>
    </rPh>
    <phoneticPr fontId="1"/>
  </si>
  <si>
    <t>インターンもあるしやばいよ</t>
    <phoneticPr fontId="1"/>
  </si>
  <si>
    <t>次は、その最後の締めをした後、残りエフェクトの追加をする</t>
    <rPh sb="0" eb="1">
      <t>ツギ</t>
    </rPh>
    <rPh sb="5" eb="7">
      <t>サイゴ</t>
    </rPh>
    <rPh sb="8" eb="9">
      <t>シ</t>
    </rPh>
    <rPh sb="13" eb="14">
      <t>アト</t>
    </rPh>
    <rPh sb="15" eb="16">
      <t>ノコ</t>
    </rPh>
    <rPh sb="23" eb="25">
      <t>ツイカ</t>
    </rPh>
    <phoneticPr fontId="1"/>
  </si>
  <si>
    <t>エリア制限実装完了</t>
    <rPh sb="3" eb="5">
      <t>セイゲン</t>
    </rPh>
    <rPh sb="5" eb="7">
      <t>ジッソウ</t>
    </rPh>
    <rPh sb="7" eb="9">
      <t>カンリョウ</t>
    </rPh>
    <phoneticPr fontId="1"/>
  </si>
  <si>
    <t>ついgは、エフェクトをいろいろ追加するために、エフェクトマネージャーを作る</t>
    <rPh sb="15" eb="17">
      <t>ツイカ</t>
    </rPh>
    <rPh sb="35" eb="36">
      <t>ツク</t>
    </rPh>
    <phoneticPr fontId="1"/>
  </si>
  <si>
    <t>スキル技のエフェクトを作る、血殺の時のエフェクトを作る</t>
    <rPh sb="3" eb="4">
      <t>ワザ</t>
    </rPh>
    <rPh sb="11" eb="12">
      <t>ツク</t>
    </rPh>
    <rPh sb="14" eb="16">
      <t>チサツ</t>
    </rPh>
    <rPh sb="17" eb="18">
      <t>トキ</t>
    </rPh>
    <rPh sb="25" eb="26">
      <t>ツク</t>
    </rPh>
    <phoneticPr fontId="1"/>
  </si>
  <si>
    <t>タイトルシーン、リザルトシーンをつくる</t>
    <phoneticPr fontId="1"/>
  </si>
  <si>
    <t>時間が余ったらボス、チュートリアルを作れる</t>
    <rPh sb="0" eb="2">
      <t>ジカン</t>
    </rPh>
    <rPh sb="3" eb="4">
      <t>アマ</t>
    </rPh>
    <rPh sb="18" eb="19">
      <t>ツク</t>
    </rPh>
    <phoneticPr fontId="1"/>
  </si>
  <si>
    <t>エフェクトの修正は恋先輩に手伝ってもらう</t>
    <rPh sb="6" eb="8">
      <t>シュウセイ</t>
    </rPh>
    <rPh sb="9" eb="10">
      <t>レン</t>
    </rPh>
    <rPh sb="10" eb="12">
      <t>センパイ</t>
    </rPh>
    <rPh sb="13" eb="15">
      <t>テツダ</t>
    </rPh>
    <phoneticPr fontId="1"/>
  </si>
  <si>
    <t>エフェクトマネージャー作成終了、スキルエフェクト、血殺のエフェクトも作り終えた</t>
    <rPh sb="11" eb="15">
      <t>サクセイシュウリョウ</t>
    </rPh>
    <rPh sb="25" eb="27">
      <t>チサツ</t>
    </rPh>
    <rPh sb="34" eb="35">
      <t>ツク</t>
    </rPh>
    <rPh sb="36" eb="37">
      <t>オ</t>
    </rPh>
    <phoneticPr fontId="1"/>
  </si>
  <si>
    <t>クオリティが鬼微妙</t>
    <rPh sb="6" eb="9">
      <t>オニビミョウ</t>
    </rPh>
    <phoneticPr fontId="1"/>
  </si>
  <si>
    <t>次はタイトルシーンを作る</t>
    <rPh sb="0" eb="1">
      <t>ツギ</t>
    </rPh>
    <rPh sb="10" eb="11">
      <t>ツク</t>
    </rPh>
    <phoneticPr fontId="1"/>
  </si>
  <si>
    <t>なにつくろうとしてたかちょっとしかおもいだせない</t>
    <phoneticPr fontId="1"/>
  </si>
  <si>
    <t>今のところペルソナ風</t>
    <rPh sb="0" eb="1">
      <t>イマ</t>
    </rPh>
    <rPh sb="9" eb="10">
      <t>フウ</t>
    </rPh>
    <phoneticPr fontId="1"/>
  </si>
  <si>
    <t>タイトルシーン作成手順</t>
    <rPh sb="7" eb="9">
      <t>サクセイ</t>
    </rPh>
    <rPh sb="9" eb="11">
      <t>テジュン</t>
    </rPh>
    <phoneticPr fontId="1"/>
  </si>
  <si>
    <t>キャラを表示→キャラをフレームでコマンドで動かす→カメラを動かす→シェーダーでペルソナ風にする</t>
    <rPh sb="4" eb="6">
      <t>ヒョウジ</t>
    </rPh>
    <rPh sb="21" eb="22">
      <t>ウゴ</t>
    </rPh>
    <rPh sb="29" eb="30">
      <t>ウゴ</t>
    </rPh>
    <rPh sb="43" eb="44">
      <t>フウ</t>
    </rPh>
    <phoneticPr fontId="1"/>
  </si>
  <si>
    <t>フレームで動かす仕組みまでできた。次は、キャラを動かすところ</t>
    <rPh sb="5" eb="6">
      <t>ウゴ</t>
    </rPh>
    <rPh sb="8" eb="10">
      <t>シク</t>
    </rPh>
    <rPh sb="17" eb="18">
      <t>ツギ</t>
    </rPh>
    <rPh sb="24" eb="25">
      <t>ウゴ</t>
    </rPh>
    <phoneticPr fontId="1"/>
  </si>
  <si>
    <t>カメラとオブジェクトとの当たり判定をしないといけない</t>
    <rPh sb="12" eb="13">
      <t>ア</t>
    </rPh>
    <rPh sb="15" eb="17">
      <t>ハンテイ</t>
    </rPh>
    <phoneticPr fontId="1"/>
  </si>
  <si>
    <t>キャラを動かすところまでできたけど、モーションがダサすぎてむずそう</t>
    <rPh sb="4" eb="5">
      <t>ウゴ</t>
    </rPh>
    <phoneticPr fontId="1"/>
  </si>
  <si>
    <t>ゼンゼロのような足だけ移す→剣を拾う→タイトル</t>
    <rPh sb="8" eb="9">
      <t>アシ</t>
    </rPh>
    <rPh sb="11" eb="12">
      <t>ウツ</t>
    </rPh>
    <rPh sb="14" eb="15">
      <t>ケン</t>
    </rPh>
    <rPh sb="16" eb="17">
      <t>ヒロ</t>
    </rPh>
    <phoneticPr fontId="1"/>
  </si>
  <si>
    <t>敵を倒したりしてもいいかも</t>
    <rPh sb="0" eb="1">
      <t>テキ</t>
    </rPh>
    <rPh sb="2" eb="3">
      <t>タオ</t>
    </rPh>
    <phoneticPr fontId="1"/>
  </si>
  <si>
    <t>×</t>
    <phoneticPr fontId="1"/>
  </si>
  <si>
    <t>歩く→剣にもたれかかる→スタートしたら剣にいろいろ選択肢が出てくる→ゲームシーンへ</t>
    <rPh sb="0" eb="1">
      <t>アル</t>
    </rPh>
    <rPh sb="3" eb="4">
      <t>ケン</t>
    </rPh>
    <rPh sb="19" eb="20">
      <t>ケン</t>
    </rPh>
    <rPh sb="25" eb="28">
      <t>センタクシ</t>
    </rPh>
    <rPh sb="29" eb="30">
      <t>デ</t>
    </rPh>
    <phoneticPr fontId="1"/>
  </si>
  <si>
    <t>〇</t>
    <phoneticPr fontId="1"/>
  </si>
  <si>
    <t>剣を映す→足を映す→足からぜんたいへ→剣を取る→走る→キャラが止まる→タイトルを映す</t>
    <rPh sb="0" eb="1">
      <t>ケン</t>
    </rPh>
    <rPh sb="2" eb="3">
      <t>ウツ</t>
    </rPh>
    <rPh sb="5" eb="6">
      <t>アシ</t>
    </rPh>
    <rPh sb="7" eb="8">
      <t>ウツ</t>
    </rPh>
    <rPh sb="10" eb="11">
      <t>アシ</t>
    </rPh>
    <rPh sb="19" eb="20">
      <t>ケン</t>
    </rPh>
    <rPh sb="21" eb="22">
      <t>ト</t>
    </rPh>
    <rPh sb="24" eb="25">
      <t>ハシ</t>
    </rPh>
    <rPh sb="31" eb="32">
      <t>ト</t>
    </rPh>
    <rPh sb="40" eb="41">
      <t>ウツ</t>
    </rPh>
    <phoneticPr fontId="1"/>
  </si>
  <si>
    <t>ゼンゼロ風</t>
    <rPh sb="4" eb="5">
      <t>フウ</t>
    </rPh>
    <phoneticPr fontId="1"/>
  </si>
  <si>
    <t>キャラがとまった後、カメラを動かして、世界を見せる→タイトルロゴ</t>
    <rPh sb="8" eb="9">
      <t>アト</t>
    </rPh>
    <rPh sb="14" eb="15">
      <t>ウゴ</t>
    </rPh>
    <rPh sb="19" eb="21">
      <t>セカイ</t>
    </rPh>
    <rPh sb="22" eb="23">
      <t>ミ</t>
    </rPh>
    <phoneticPr fontId="1"/>
  </si>
  <si>
    <t>後は、キャラクターのモーションに合わせて剣を表示、非表示などをさせる</t>
    <rPh sb="0" eb="1">
      <t>アト</t>
    </rPh>
    <rPh sb="16" eb="17">
      <t>ア</t>
    </rPh>
    <rPh sb="20" eb="21">
      <t>ケン</t>
    </rPh>
    <rPh sb="22" eb="24">
      <t>ヒョウジ</t>
    </rPh>
    <rPh sb="25" eb="28">
      <t>ヒヒョウジ</t>
    </rPh>
    <phoneticPr fontId="1"/>
  </si>
  <si>
    <t>次は、ステージを作って、それらをうまく組み合わせて作る感じ</t>
    <rPh sb="0" eb="1">
      <t>ツギ</t>
    </rPh>
    <rPh sb="8" eb="9">
      <t>ツク</t>
    </rPh>
    <rPh sb="19" eb="20">
      <t>ク</t>
    </rPh>
    <rPh sb="21" eb="22">
      <t>ア</t>
    </rPh>
    <rPh sb="25" eb="26">
      <t>ツク</t>
    </rPh>
    <rPh sb="27" eb="28">
      <t>カン</t>
    </rPh>
    <phoneticPr fontId="1"/>
  </si>
  <si>
    <t>ステージ作りまで終わった、あとは白い線を出して疾走感をつけるだけ</t>
    <rPh sb="4" eb="5">
      <t>ツク</t>
    </rPh>
    <rPh sb="8" eb="9">
      <t>オ</t>
    </rPh>
    <rPh sb="16" eb="17">
      <t>シロ</t>
    </rPh>
    <rPh sb="18" eb="19">
      <t>セン</t>
    </rPh>
    <rPh sb="20" eb="21">
      <t>ダ</t>
    </rPh>
    <rPh sb="23" eb="25">
      <t>シッソウ</t>
    </rPh>
    <rPh sb="25" eb="26">
      <t>カン</t>
    </rPh>
    <phoneticPr fontId="1"/>
  </si>
  <si>
    <t>ネズミとぶつかったら血殺！って出す</t>
    <rPh sb="10" eb="11">
      <t>チ</t>
    </rPh>
    <rPh sb="11" eb="12">
      <t>サツ</t>
    </rPh>
    <rPh sb="15" eb="16">
      <t>ダ</t>
    </rPh>
    <phoneticPr fontId="1"/>
  </si>
  <si>
    <t>タイトルシーンいったん完成、次は、リザルト画面</t>
    <rPh sb="11" eb="13">
      <t>カンセイ</t>
    </rPh>
    <rPh sb="14" eb="15">
      <t>ツギ</t>
    </rPh>
    <rPh sb="21" eb="23">
      <t>ガメン</t>
    </rPh>
    <phoneticPr fontId="1"/>
  </si>
  <si>
    <t>リザルト画面案</t>
    <rPh sb="4" eb="6">
      <t>ガメン</t>
    </rPh>
    <rPh sb="6" eb="7">
      <t>アン</t>
    </rPh>
    <phoneticPr fontId="1"/>
  </si>
  <si>
    <t>ゲームシーンのラストヒットを血殺のみで倒せるようにする→血殺からのリザルト画面演出</t>
    <rPh sb="14" eb="16">
      <t>チサツ</t>
    </rPh>
    <rPh sb="19" eb="20">
      <t>タオ</t>
    </rPh>
    <rPh sb="28" eb="30">
      <t>チサツ</t>
    </rPh>
    <rPh sb="37" eb="39">
      <t>ガメン</t>
    </rPh>
    <rPh sb="39" eb="41">
      <t>エンシュツ</t>
    </rPh>
    <phoneticPr fontId="1"/>
  </si>
  <si>
    <t>スコアが出る→血殺→スコア変更→ペルソナみたいな画角で終わり</t>
    <rPh sb="4" eb="5">
      <t>デ</t>
    </rPh>
    <rPh sb="7" eb="9">
      <t>チサツ</t>
    </rPh>
    <rPh sb="13" eb="15">
      <t>ヘンコウ</t>
    </rPh>
    <rPh sb="24" eb="26">
      <t>ガカク</t>
    </rPh>
    <rPh sb="27" eb="28">
      <t>オ</t>
    </rPh>
    <phoneticPr fontId="1"/>
  </si>
  <si>
    <t>リザルト画面→時間→スコアを表示</t>
    <rPh sb="4" eb="6">
      <t>ガメン</t>
    </rPh>
    <rPh sb="7" eb="9">
      <t>ジカン</t>
    </rPh>
    <rPh sb="14" eb="16">
      <t>ヒョウジ</t>
    </rPh>
    <phoneticPr fontId="1"/>
  </si>
  <si>
    <t>Sだのそんな感じのやつ</t>
    <rPh sb="6" eb="7">
      <t>カン</t>
    </rPh>
    <phoneticPr fontId="1"/>
  </si>
  <si>
    <t>リザルトはモデルを切るようにする</t>
    <rPh sb="9" eb="10">
      <t>キ</t>
    </rPh>
    <phoneticPr fontId="1"/>
  </si>
  <si>
    <t>スコアのモデルはダウンロードに作ったので、一旦、それを回転しながら表示させるなどをする</t>
    <rPh sb="15" eb="16">
      <t>ツク</t>
    </rPh>
    <rPh sb="21" eb="23">
      <t>イッタン</t>
    </rPh>
    <rPh sb="27" eb="29">
      <t>カイテン</t>
    </rPh>
    <rPh sb="33" eb="35">
      <t>ヒョウジ</t>
    </rPh>
    <phoneticPr fontId="1"/>
  </si>
  <si>
    <t>そのあと、切るアニメーションなどをして、モデルを切り崩すようにする</t>
    <rPh sb="5" eb="6">
      <t>キ</t>
    </rPh>
    <rPh sb="24" eb="25">
      <t>キ</t>
    </rPh>
    <rPh sb="26" eb="27">
      <t>クズ</t>
    </rPh>
    <phoneticPr fontId="1"/>
  </si>
  <si>
    <t>やること</t>
    <phoneticPr fontId="1"/>
  </si>
  <si>
    <t>リザルトシーンは触、学校でやった、キャラクターを赤単色で表示まで終わっている(あんまり進んでいないため、強硬してもよい</t>
    <rPh sb="8" eb="9">
      <t>サワ</t>
    </rPh>
    <rPh sb="10" eb="12">
      <t>ガッコウ</t>
    </rPh>
    <rPh sb="24" eb="25">
      <t>アカ</t>
    </rPh>
    <rPh sb="25" eb="27">
      <t>タンショク</t>
    </rPh>
    <rPh sb="28" eb="30">
      <t>ヒョウジ</t>
    </rPh>
    <rPh sb="32" eb="33">
      <t>オ</t>
    </rPh>
    <rPh sb="43" eb="44">
      <t>スス</t>
    </rPh>
    <rPh sb="52" eb="54">
      <t>キョウコウ</t>
    </rPh>
    <phoneticPr fontId="1"/>
  </si>
  <si>
    <t>ボスを作る、そのあとは、ゲームシーンでやることをする(バグ直しorポーズシーンの追加等)</t>
    <rPh sb="3" eb="4">
      <t>ツク</t>
    </rPh>
    <rPh sb="29" eb="30">
      <t>ナオ</t>
    </rPh>
    <rPh sb="40" eb="43">
      <t>ツイカトウ</t>
    </rPh>
    <phoneticPr fontId="1"/>
  </si>
  <si>
    <t>bossを作りたいなーー</t>
    <rPh sb="5" eb="6">
      <t>ツク</t>
    </rPh>
    <phoneticPr fontId="1"/>
  </si>
  <si>
    <t>bossの攻撃方法</t>
    <rPh sb="5" eb="9">
      <t>コウゲキホウホウ</t>
    </rPh>
    <phoneticPr fontId="1"/>
  </si>
  <si>
    <t>魔法近距離攻撃、魔法遠距離攻撃、雑魚敵召喚</t>
    <rPh sb="0" eb="2">
      <t>マホウ</t>
    </rPh>
    <rPh sb="2" eb="7">
      <t>キンキョリコウゲキ</t>
    </rPh>
    <rPh sb="8" eb="10">
      <t>マホウ</t>
    </rPh>
    <rPh sb="10" eb="15">
      <t>エンキョリコウゲキ</t>
    </rPh>
    <rPh sb="16" eb="18">
      <t>ザコ</t>
    </rPh>
    <rPh sb="18" eb="19">
      <t>テキ</t>
    </rPh>
    <rPh sb="19" eb="21">
      <t>ショウカン</t>
    </rPh>
    <phoneticPr fontId="1"/>
  </si>
  <si>
    <t>EnemySwordManと同じつくりのStatePatternは実装したから、今からするのは、攻撃の中身の実装をしていく、↑三つのやつ</t>
    <rPh sb="14" eb="15">
      <t>オナ</t>
    </rPh>
    <rPh sb="33" eb="35">
      <t>ジッソウ</t>
    </rPh>
    <rPh sb="40" eb="41">
      <t>イマ</t>
    </rPh>
    <rPh sb="48" eb="50">
      <t>コウゲキ</t>
    </rPh>
    <rPh sb="51" eb="53">
      <t>ナカミ</t>
    </rPh>
    <rPh sb="54" eb="56">
      <t>ジッソウ</t>
    </rPh>
    <rPh sb="63" eb="64">
      <t>ミッ</t>
    </rPh>
    <phoneticPr fontId="1"/>
  </si>
  <si>
    <t>そのあと、それら攻撃の当たり判定を生成する仕組み、そのあと、エフェクト制作</t>
    <rPh sb="8" eb="10">
      <t>コウゲキ</t>
    </rPh>
    <rPh sb="11" eb="12">
      <t>ア</t>
    </rPh>
    <rPh sb="14" eb="15">
      <t>ハン</t>
    </rPh>
    <rPh sb="17" eb="19">
      <t>セイセイ</t>
    </rPh>
    <rPh sb="21" eb="23">
      <t>シク</t>
    </rPh>
    <rPh sb="35" eb="37">
      <t>セイサク</t>
    </rPh>
    <phoneticPr fontId="1"/>
  </si>
  <si>
    <t>そのあと、でかいからカメラをいろいろしたりとかかなー</t>
    <phoneticPr fontId="1"/>
  </si>
  <si>
    <t>遠距離攻撃、いったん完成</t>
    <rPh sb="0" eb="5">
      <t>エンキョリコウゲキ</t>
    </rPh>
    <rPh sb="10" eb="12">
      <t>カンセイ</t>
    </rPh>
    <phoneticPr fontId="1"/>
  </si>
  <si>
    <t>次は、近距離攻撃</t>
    <rPh sb="0" eb="1">
      <t>ツギ</t>
    </rPh>
    <rPh sb="3" eb="8">
      <t>キンキョリコウゲキ</t>
    </rPh>
    <phoneticPr fontId="1"/>
  </si>
  <si>
    <t>近距離も、雑魚敵召喚も終わった</t>
    <rPh sb="0" eb="3">
      <t>キンキョリ</t>
    </rPh>
    <rPh sb="5" eb="10">
      <t>ザコテキショウカン</t>
    </rPh>
    <rPh sb="11" eb="12">
      <t>オ</t>
    </rPh>
    <phoneticPr fontId="1"/>
  </si>
  <si>
    <t>後は、ボスを丁寧に動かす、出現させる、スタンステート、ラストヒット演出って感じ</t>
    <rPh sb="0" eb="1">
      <t>アト</t>
    </rPh>
    <rPh sb="6" eb="8">
      <t>テイネイ</t>
    </rPh>
    <rPh sb="9" eb="10">
      <t>ウゴ</t>
    </rPh>
    <rPh sb="13" eb="15">
      <t>シュツゲン</t>
    </rPh>
    <rPh sb="33" eb="35">
      <t>エンシュツ</t>
    </rPh>
    <rPh sb="37" eb="38">
      <t>カン</t>
    </rPh>
    <phoneticPr fontId="1"/>
  </si>
  <si>
    <t>音をだす</t>
    <rPh sb="0" eb="1">
      <t>オト</t>
    </rPh>
    <phoneticPr fontId="1"/>
  </si>
  <si>
    <t>GameOverSceneの実装がまだだった</t>
    <rPh sb="14" eb="16">
      <t>ジッソウ</t>
    </rPh>
    <phoneticPr fontId="1"/>
  </si>
  <si>
    <t>残りタスク洗い出し</t>
    <rPh sb="0" eb="1">
      <t>ノコ</t>
    </rPh>
    <rPh sb="5" eb="6">
      <t>アラ</t>
    </rPh>
    <rPh sb="7" eb="8">
      <t>ダ</t>
    </rPh>
    <phoneticPr fontId="1"/>
  </si>
  <si>
    <t>ボスを動かす</t>
    <rPh sb="3" eb="4">
      <t>ウゴ</t>
    </rPh>
    <phoneticPr fontId="1"/>
  </si>
  <si>
    <t>ボス用の血殺を作る(最後の)</t>
    <rPh sb="2" eb="3">
      <t>ヨウ</t>
    </rPh>
    <rPh sb="4" eb="6">
      <t>チサツ</t>
    </rPh>
    <rPh sb="7" eb="8">
      <t>ツク</t>
    </rPh>
    <rPh sb="10" eb="12">
      <t>サイゴ</t>
    </rPh>
    <phoneticPr fontId="1"/>
  </si>
  <si>
    <t>boss登場時のカメラ演出</t>
    <rPh sb="4" eb="7">
      <t>トウジョウジ</t>
    </rPh>
    <rPh sb="11" eb="13">
      <t>エンシュツ</t>
    </rPh>
    <phoneticPr fontId="1"/>
  </si>
  <si>
    <t>UIをしっかりしたのに変える</t>
    <rPh sb="11" eb="12">
      <t>カ</t>
    </rPh>
    <phoneticPr fontId="1"/>
  </si>
  <si>
    <t>ポーズシーンを作る</t>
    <phoneticPr fontId="1"/>
  </si>
  <si>
    <t>ポーズシーンを作る(LT押したら、ボタンガイドが出るとかでも全然いい)</t>
    <rPh sb="12" eb="13">
      <t>オ</t>
    </rPh>
    <rPh sb="24" eb="25">
      <t>デ</t>
    </rPh>
    <rPh sb="30" eb="32">
      <t>ゼンゼン</t>
    </rPh>
    <phoneticPr fontId="1"/>
  </si>
  <si>
    <t>音をつける</t>
    <rPh sb="0" eb="1">
      <t>オト</t>
    </rPh>
    <phoneticPr fontId="1"/>
  </si>
  <si>
    <t>ゲームオーバーシーン(死でいい)</t>
    <rPh sb="11" eb="12">
      <t>シ</t>
    </rPh>
    <phoneticPr fontId="1"/>
  </si>
  <si>
    <t>C</t>
    <phoneticPr fontId="1"/>
  </si>
  <si>
    <t>S</t>
    <phoneticPr fontId="1"/>
  </si>
  <si>
    <t>A</t>
    <phoneticPr fontId="1"/>
  </si>
  <si>
    <t>3日</t>
    <rPh sb="1" eb="2">
      <t>ニチ</t>
    </rPh>
    <phoneticPr fontId="1"/>
  </si>
  <si>
    <t>回避を消す</t>
    <rPh sb="0" eb="2">
      <t>カイヒ</t>
    </rPh>
    <rPh sb="3" eb="4">
      <t>ケ</t>
    </rPh>
    <phoneticPr fontId="1"/>
  </si>
  <si>
    <t>ボスステート</t>
    <phoneticPr fontId="1"/>
  </si>
  <si>
    <t>Idle</t>
    <phoneticPr fontId="1"/>
  </si>
  <si>
    <t>Attack</t>
    <phoneticPr fontId="1"/>
  </si>
  <si>
    <t>Stun</t>
    <phoneticPr fontId="1"/>
  </si>
  <si>
    <t>LockOnManagerをつくる</t>
    <phoneticPr fontId="1"/>
  </si>
  <si>
    <t>CameraシステムをUnityのものからStatePatternのものにUpgradeする</t>
    <phoneticPr fontId="1"/>
  </si>
  <si>
    <t>当たり判定周りの修正案について</t>
    <rPh sb="0" eb="1">
      <t>ア</t>
    </rPh>
    <rPh sb="3" eb="5">
      <t>ハンテイ</t>
    </rPh>
    <rPh sb="5" eb="6">
      <t>マワ</t>
    </rPh>
    <rPh sb="8" eb="11">
      <t>シュウセイアン</t>
    </rPh>
    <phoneticPr fontId="1"/>
  </si>
  <si>
    <t>現状shared_ptrで管理しているせいで、参照が増えて、消したり登録したりが面倒</t>
    <rPh sb="0" eb="2">
      <t>ゲンジョウ</t>
    </rPh>
    <rPh sb="13" eb="15">
      <t>カンリ</t>
    </rPh>
    <rPh sb="23" eb="25">
      <t>サンショウ</t>
    </rPh>
    <rPh sb="26" eb="27">
      <t>フ</t>
    </rPh>
    <rPh sb="30" eb="31">
      <t>ケ</t>
    </rPh>
    <rPh sb="34" eb="36">
      <t>トウロク</t>
    </rPh>
    <rPh sb="40" eb="42">
      <t>メンドウ</t>
    </rPh>
    <phoneticPr fontId="1"/>
  </si>
  <si>
    <t>登録したり、登録解除したりが面倒</t>
    <rPh sb="0" eb="2">
      <t>トウロク</t>
    </rPh>
    <rPh sb="6" eb="10">
      <t>トウロクカイジョ</t>
    </rPh>
    <rPh sb="14" eb="16">
      <t>メンドウ</t>
    </rPh>
    <phoneticPr fontId="1"/>
  </si>
  <si>
    <t>・</t>
    <phoneticPr fontId="1"/>
  </si>
  <si>
    <t>ジャンプの時のカメラ挙動はどういう風にしているのか気になる</t>
    <rPh sb="5" eb="6">
      <t>トキ</t>
    </rPh>
    <rPh sb="10" eb="12">
      <t>キョドウ</t>
    </rPh>
    <rPh sb="17" eb="18">
      <t>フウ</t>
    </rPh>
    <rPh sb="25" eb="26">
      <t>キ</t>
    </rPh>
    <phoneticPr fontId="1"/>
  </si>
  <si>
    <t>ロックオンの時の注視点はどうしているのか気になる</t>
    <rPh sb="6" eb="7">
      <t>トキ</t>
    </rPh>
    <rPh sb="8" eb="10">
      <t>チュウシ</t>
    </rPh>
    <rPh sb="10" eb="11">
      <t>テン</t>
    </rPh>
    <rPh sb="20" eb="21">
      <t>キ</t>
    </rPh>
    <phoneticPr fontId="1"/>
  </si>
  <si>
    <t>playerにロックオンマネージャーを持たす</t>
    <rPh sb="19" eb="20">
      <t>モ</t>
    </rPh>
    <phoneticPr fontId="1"/>
  </si>
  <si>
    <t>そこからゲットさせる</t>
    <phoneticPr fontId="1"/>
  </si>
  <si>
    <t>【フィードバック内容】</t>
  </si>
  <si>
    <t>・カメラの切り替えが急すぎるため補間を入れる（ロックオン周りなど）</t>
  </si>
  <si>
    <t>・キャラクターがとった行動に対してのリアクションが薄い</t>
  </si>
  <si>
    <t>・Bボタンのアクションが何か分からない</t>
  </si>
  <si>
    <t>・空中でのアクションは出るのが正しい？</t>
  </si>
  <si>
    <t>・ポーズの機能</t>
  </si>
  <si>
    <t>・ロックオンカーソル</t>
  </si>
  <si>
    <t>・敵がどれくらいで倒せるのかが分からない</t>
  </si>
  <si>
    <t>・モーションとアクションが合っていない（足が滑っている）</t>
  </si>
  <si>
    <t>・画面が止まっている時間がある（タイトル）</t>
  </si>
  <si>
    <t>・必殺で片翼を出した時、プレイヤーに対して何かしらのフィードバックが欲しい</t>
  </si>
  <si>
    <t>・必殺でリソースが足りなかった時、足りなかったことが分からない</t>
  </si>
  <si>
    <t>・ゲージが分かり辛い（表現の工夫？）</t>
  </si>
  <si>
    <t>・ゲームの目的が分かる演出を入れる</t>
  </si>
  <si>
    <t>・次のウェーブに進んだことが分かる演出を入れる</t>
  </si>
  <si>
    <t>・歩き、ジャンプ、攻撃の踏み込みにエフェクトを入れる</t>
  </si>
  <si>
    <t>・敵死亡時、パッと消えないようにする</t>
  </si>
  <si>
    <t>・移動手段が歩きのみ（ステップやダッシュは不要？）</t>
  </si>
  <si>
    <t>・モーションと当たり判定が合っていない</t>
  </si>
  <si>
    <t>・打撃と斬撃で同じエフェクトが出ている</t>
  </si>
  <si>
    <t>・当たり判定を大きい球ではなく、複数の球を持つようにする</t>
  </si>
  <si>
    <t>GameSceneのロックオン処理は3つ</t>
    <rPh sb="15" eb="17">
      <t>ショリ</t>
    </rPh>
    <phoneticPr fontId="1"/>
  </si>
  <si>
    <t>ゲームシーン終了、次はplayerからattackColに渡したりしているところの変更</t>
    <rPh sb="6" eb="8">
      <t>シュウリョウ</t>
    </rPh>
    <rPh sb="9" eb="10">
      <t>ツギ</t>
    </rPh>
    <phoneticPr fontId="1"/>
  </si>
  <si>
    <t>コンボノードは一定時間攻撃していなかったら出す</t>
    <rPh sb="7" eb="11">
      <t>イッテイジカン</t>
    </rPh>
    <rPh sb="11" eb="13">
      <t>コウゲキ</t>
    </rPh>
    <rPh sb="21" eb="22">
      <t>ダ</t>
    </rPh>
    <phoneticPr fontId="1"/>
  </si>
  <si>
    <t>案</t>
    <rPh sb="0" eb="1">
      <t>アン</t>
    </rPh>
    <phoneticPr fontId="1"/>
  </si>
  <si>
    <t>敵の色が体力によって変わっていくと、敵がhpを減っていってるのがわかりやすい</t>
    <rPh sb="0" eb="1">
      <t>テキ</t>
    </rPh>
    <rPh sb="2" eb="3">
      <t>イロ</t>
    </rPh>
    <rPh sb="4" eb="6">
      <t>タイリョク</t>
    </rPh>
    <rPh sb="10" eb="11">
      <t>カ</t>
    </rPh>
    <rPh sb="18" eb="19">
      <t>テキ</t>
    </rPh>
    <rPh sb="23" eb="24">
      <t>ヘ</t>
    </rPh>
    <phoneticPr fontId="1"/>
  </si>
  <si>
    <t>翼をゲージないときは出さない</t>
    <rPh sb="0" eb="1">
      <t>ツバサ</t>
    </rPh>
    <rPh sb="10" eb="11">
      <t>ダ</t>
    </rPh>
    <phoneticPr fontId="1"/>
  </si>
  <si>
    <t>当たり判定を攻撃ごとに調整は優先度高い</t>
    <rPh sb="0" eb="1">
      <t>ア</t>
    </rPh>
    <rPh sb="3" eb="5">
      <t>ハンテイ</t>
    </rPh>
    <rPh sb="6" eb="8">
      <t>コウゲキ</t>
    </rPh>
    <rPh sb="11" eb="13">
      <t>チョウセイ</t>
    </rPh>
    <rPh sb="14" eb="17">
      <t>ユウセンド</t>
    </rPh>
    <rPh sb="17" eb="18">
      <t>タカ</t>
    </rPh>
    <phoneticPr fontId="1"/>
  </si>
  <si>
    <t>攻撃アニメーションの当たり判定を出すタイミングは割合ではなく、フレームで管理したほうがいい</t>
    <rPh sb="0" eb="2">
      <t>コウゲキ</t>
    </rPh>
    <rPh sb="10" eb="11">
      <t>ア</t>
    </rPh>
    <rPh sb="13" eb="15">
      <t>ハンテイ</t>
    </rPh>
    <rPh sb="16" eb="17">
      <t>ダ</t>
    </rPh>
    <rPh sb="24" eb="26">
      <t>ワリアイ</t>
    </rPh>
    <rPh sb="36" eb="38">
      <t>カンリ</t>
    </rPh>
    <phoneticPr fontId="1"/>
  </si>
  <si>
    <t>そっちのほうが直感的だから</t>
    <rPh sb="7" eb="10">
      <t>チョッカンテキ</t>
    </rPh>
    <phoneticPr fontId="1"/>
  </si>
  <si>
    <t>攻撃の当たり判定はしっかり剣に沿わせたほうがいい</t>
    <rPh sb="0" eb="2">
      <t>コウゲキ</t>
    </rPh>
    <rPh sb="3" eb="4">
      <t>ア</t>
    </rPh>
    <rPh sb="6" eb="8">
      <t>ハンテイ</t>
    </rPh>
    <rPh sb="13" eb="14">
      <t>ケン</t>
    </rPh>
    <rPh sb="15" eb="16">
      <t>ソ</t>
    </rPh>
    <phoneticPr fontId="1"/>
  </si>
  <si>
    <t>あたった位置をとれるというのと、見た目に忠実に沿っているから、</t>
    <rPh sb="4" eb="6">
      <t>イチ</t>
    </rPh>
    <rPh sb="16" eb="17">
      <t>ミ</t>
    </rPh>
    <rPh sb="18" eb="19">
      <t>メ</t>
    </rPh>
    <rPh sb="20" eb="22">
      <t>チュウジツ</t>
    </rPh>
    <rPh sb="23" eb="24">
      <t>ソ</t>
    </rPh>
    <phoneticPr fontId="1"/>
  </si>
  <si>
    <t>やられ判定は</t>
    <rPh sb="3" eb="5">
      <t>ハンテイ</t>
    </rPh>
    <phoneticPr fontId="1"/>
  </si>
  <si>
    <t>やられ判定は球で、押し戻しをシリンダー</t>
    <rPh sb="3" eb="5">
      <t>ハンテイ</t>
    </rPh>
    <rPh sb="6" eb="7">
      <t>キュウ</t>
    </rPh>
    <rPh sb="9" eb="10">
      <t>オ</t>
    </rPh>
    <rPh sb="11" eb="12">
      <t>モド</t>
    </rPh>
    <phoneticPr fontId="1"/>
  </si>
  <si>
    <t>理由は球同士の当たり判定が一番軽いから</t>
    <rPh sb="0" eb="2">
      <t>リユウ</t>
    </rPh>
    <rPh sb="3" eb="6">
      <t>キュウドウシ</t>
    </rPh>
    <rPh sb="7" eb="8">
      <t>ア</t>
    </rPh>
    <rPh sb="10" eb="12">
      <t>ハンテイ</t>
    </rPh>
    <rPh sb="13" eb="16">
      <t>イチバンカル</t>
    </rPh>
    <phoneticPr fontId="1"/>
  </si>
  <si>
    <t>扱いやすいならカプセルでもいいが、</t>
    <rPh sb="0" eb="1">
      <t>アツカ</t>
    </rPh>
    <phoneticPr fontId="1"/>
  </si>
  <si>
    <t>基本円柱とか球でいい</t>
    <rPh sb="0" eb="2">
      <t>キホン</t>
    </rPh>
    <rPh sb="2" eb="4">
      <t>エンチュウ</t>
    </rPh>
    <rPh sb="6" eb="7">
      <t>キュウ</t>
    </rPh>
    <phoneticPr fontId="1"/>
  </si>
  <si>
    <t>↑の処理をすべて終了</t>
    <rPh sb="2" eb="4">
      <t>ショリ</t>
    </rPh>
    <rPh sb="8" eb="10">
      <t>シュウリョウ</t>
    </rPh>
    <phoneticPr fontId="1"/>
  </si>
  <si>
    <t>今日からカメラステートに実装変更する</t>
    <rPh sb="0" eb="2">
      <t>キョウ</t>
    </rPh>
    <rPh sb="12" eb="14">
      <t>ジッソウ</t>
    </rPh>
    <rPh sb="14" eb="16">
      <t>ヘンコウ</t>
    </rPh>
    <phoneticPr fontId="1"/>
  </si>
  <si>
    <t>カメラのツールを作る(アリかナシかでいうとナシより)</t>
    <rPh sb="8" eb="9">
      <t>ツク</t>
    </rPh>
    <phoneticPr fontId="1"/>
  </si>
  <si>
    <t>カメラをUnity風ではなくて、CameraStateで動かすようにする</t>
    <rPh sb="9" eb="10">
      <t>フウ</t>
    </rPh>
    <rPh sb="28" eb="29">
      <t>ウゴ</t>
    </rPh>
    <phoneticPr fontId="1"/>
  </si>
  <si>
    <t>S</t>
    <phoneticPr fontId="1"/>
  </si>
  <si>
    <t>C</t>
    <phoneticPr fontId="1"/>
  </si>
  <si>
    <t>内部ターゲットの作りの変更</t>
    <rPh sb="0" eb="2">
      <t>ナイブ</t>
    </rPh>
    <rPh sb="8" eb="9">
      <t>ツク</t>
    </rPh>
    <rPh sb="11" eb="13">
      <t>ヘンコウ</t>
    </rPh>
    <phoneticPr fontId="1"/>
  </si>
  <si>
    <t>先にtargetの処理の修正をする</t>
    <rPh sb="0" eb="1">
      <t>サキ</t>
    </rPh>
    <rPh sb="9" eb="11">
      <t>ショリ</t>
    </rPh>
    <rPh sb="12" eb="14">
      <t>シュウセイ</t>
    </rPh>
    <phoneticPr fontId="1"/>
  </si>
  <si>
    <t>まずは、Playerの中で攻撃が初めて当たった時の処理、2回目以降の処理みたいな感じでまとめる</t>
    <rPh sb="11" eb="12">
      <t>ナカ</t>
    </rPh>
    <rPh sb="13" eb="15">
      <t>コウゲキ</t>
    </rPh>
    <rPh sb="16" eb="17">
      <t>ハジ</t>
    </rPh>
    <rPh sb="25" eb="27">
      <t>ショリ</t>
    </rPh>
    <rPh sb="29" eb="31">
      <t>カイメ</t>
    </rPh>
    <rPh sb="31" eb="33">
      <t>イコウ</t>
    </rPh>
    <rPh sb="34" eb="36">
      <t>ショリ</t>
    </rPh>
    <rPh sb="40" eb="41">
      <t>カン</t>
    </rPh>
    <phoneticPr fontId="1"/>
  </si>
  <si>
    <t>(これをすることで、カメラが毎回ぶれる問題もなくなるはず</t>
    <rPh sb="14" eb="16">
      <t>マイカイ</t>
    </rPh>
    <rPh sb="19" eb="21">
      <t>モンダイ</t>
    </rPh>
    <phoneticPr fontId="1"/>
  </si>
  <si>
    <t>攻撃の移動と歩きの移動は分けて扱う</t>
    <rPh sb="0" eb="2">
      <t>コウゲキ</t>
    </rPh>
    <rPh sb="3" eb="5">
      <t>イドウ</t>
    </rPh>
    <rPh sb="6" eb="7">
      <t>アル</t>
    </rPh>
    <rPh sb="9" eb="11">
      <t>イドウ</t>
    </rPh>
    <rPh sb="12" eb="13">
      <t>ワ</t>
    </rPh>
    <rPh sb="15" eb="16">
      <t>アツカ</t>
    </rPh>
    <phoneticPr fontId="1"/>
  </si>
  <si>
    <t>攻撃は速度が一定ではなく、加速度や、減速をしたりするから</t>
    <rPh sb="0" eb="2">
      <t>コウゲキ</t>
    </rPh>
    <rPh sb="3" eb="5">
      <t>ソクド</t>
    </rPh>
    <rPh sb="6" eb="8">
      <t>イッテイ</t>
    </rPh>
    <rPh sb="13" eb="16">
      <t>カソクド</t>
    </rPh>
    <rPh sb="18" eb="20">
      <t>ゲンソク</t>
    </rPh>
    <phoneticPr fontId="1"/>
  </si>
  <si>
    <t>やられは初速とかを与えて、放物線に任せる</t>
    <rPh sb="4" eb="6">
      <t>ショソク</t>
    </rPh>
    <rPh sb="9" eb="10">
      <t>アタ</t>
    </rPh>
    <rPh sb="13" eb="16">
      <t>ホウブツセン</t>
    </rPh>
    <rPh sb="17" eb="18">
      <t>マカ</t>
    </rPh>
    <phoneticPr fontId="1"/>
  </si>
  <si>
    <t>速度の初期化問題について</t>
    <rPh sb="0" eb="2">
      <t>ソクド</t>
    </rPh>
    <rPh sb="3" eb="8">
      <t>ショキカモンダイ</t>
    </rPh>
    <phoneticPr fontId="1"/>
  </si>
  <si>
    <t>加速度はあったほうがいい</t>
    <rPh sb="0" eb="3">
      <t>カソクド</t>
    </rPh>
    <phoneticPr fontId="1"/>
  </si>
  <si>
    <t>ステート切り替え時に速度をリセットするかどうかのフラグはあったほうがいい</t>
    <rPh sb="4" eb="5">
      <t>キ</t>
    </rPh>
    <rPh sb="6" eb="7">
      <t>カ</t>
    </rPh>
    <rPh sb="8" eb="9">
      <t>ジ</t>
    </rPh>
    <rPh sb="10" eb="12">
      <t>ソクド</t>
    </rPh>
    <phoneticPr fontId="1"/>
  </si>
  <si>
    <t>Stateを継承前提の作りにすることで、作らなくていいステートが生まれてくるからそういう設計にする(ジャンプとかは一緒になりやすい)</t>
    <rPh sb="6" eb="8">
      <t>ケイショウ</t>
    </rPh>
    <rPh sb="8" eb="10">
      <t>ゼンテイ</t>
    </rPh>
    <rPh sb="11" eb="12">
      <t>ツク</t>
    </rPh>
    <rPh sb="20" eb="21">
      <t>ツク</t>
    </rPh>
    <rPh sb="32" eb="33">
      <t>ウ</t>
    </rPh>
    <rPh sb="44" eb="46">
      <t>セッケイ</t>
    </rPh>
    <rPh sb="57" eb="59">
      <t>イッショ</t>
    </rPh>
    <phoneticPr fontId="1"/>
  </si>
  <si>
    <t>そもそもStateの中だと速度を毎フレーム初期化などをしなくていい可能性が高い</t>
    <rPh sb="10" eb="11">
      <t>ナカ</t>
    </rPh>
    <rPh sb="13" eb="15">
      <t>ソクド</t>
    </rPh>
    <rPh sb="16" eb="17">
      <t>マイ</t>
    </rPh>
    <rPh sb="21" eb="24">
      <t>ショキカ</t>
    </rPh>
    <rPh sb="33" eb="36">
      <t>カノウセイ</t>
    </rPh>
    <rPh sb="37" eb="38">
      <t>タカ</t>
    </rPh>
    <phoneticPr fontId="1"/>
  </si>
  <si>
    <t>(今回はEnemyをstateの分けていないからわけている</t>
    <rPh sb="1" eb="3">
      <t>コンカイ</t>
    </rPh>
    <rPh sb="16" eb="17">
      <t>ワ</t>
    </rPh>
    <phoneticPr fontId="1"/>
  </si>
  <si>
    <t>速度をmapで持つのは管理しにくいからあらかじめ複数個持つのがいい</t>
    <rPh sb="0" eb="2">
      <t>ソクド</t>
    </rPh>
    <rPh sb="7" eb="8">
      <t>モ</t>
    </rPh>
    <rPh sb="11" eb="13">
      <t>カンリ</t>
    </rPh>
    <rPh sb="24" eb="27">
      <t>フクスウコ</t>
    </rPh>
    <rPh sb="27" eb="28">
      <t>モ</t>
    </rPh>
    <phoneticPr fontId="1"/>
  </si>
  <si>
    <t>Hit時もその敵のポインタ事態を渡すのではなく、敵のデータの構造体を渡す</t>
    <rPh sb="3" eb="4">
      <t>ジ</t>
    </rPh>
    <rPh sb="7" eb="8">
      <t>テキ</t>
    </rPh>
    <rPh sb="13" eb="15">
      <t>ジタイ</t>
    </rPh>
    <rPh sb="16" eb="17">
      <t>ワタ</t>
    </rPh>
    <rPh sb="24" eb="25">
      <t>テキ</t>
    </rPh>
    <rPh sb="30" eb="33">
      <t>コウゾウタイ</t>
    </rPh>
    <rPh sb="34" eb="35">
      <t>ワタ</t>
    </rPh>
    <phoneticPr fontId="1"/>
  </si>
  <si>
    <t>空中時には回転制御というのがあり、rateを設けることで、空中でぐるぐる動かない用にできる</t>
    <rPh sb="0" eb="3">
      <t>クウチュウジ</t>
    </rPh>
    <rPh sb="5" eb="7">
      <t>カイテン</t>
    </rPh>
    <rPh sb="7" eb="9">
      <t>セイギョ</t>
    </rPh>
    <rPh sb="22" eb="23">
      <t>モウ</t>
    </rPh>
    <rPh sb="29" eb="31">
      <t>クウチュウ</t>
    </rPh>
    <rPh sb="36" eb="37">
      <t>ウゴ</t>
    </rPh>
    <rPh sb="40" eb="41">
      <t>ヨウ</t>
    </rPh>
    <phoneticPr fontId="1"/>
  </si>
  <si>
    <t>それぞれのステートの時はこの移動速度、加速度を参照するというCSVを作るのがよい(かなりあり)</t>
    <rPh sb="10" eb="11">
      <t>トキ</t>
    </rPh>
    <rPh sb="14" eb="16">
      <t>イドウ</t>
    </rPh>
    <rPh sb="16" eb="18">
      <t>ソクド</t>
    </rPh>
    <rPh sb="19" eb="22">
      <t>カソクド</t>
    </rPh>
    <rPh sb="23" eb="25">
      <t>サンショウ</t>
    </rPh>
    <rPh sb="34" eb="35">
      <t>ツク</t>
    </rPh>
    <phoneticPr fontId="1"/>
  </si>
  <si>
    <t>ロックオンしていないときのプレイやー挙動について聞いた</t>
    <rPh sb="18" eb="20">
      <t>キョドウ</t>
    </rPh>
    <rPh sb="24" eb="25">
      <t>キ</t>
    </rPh>
    <phoneticPr fontId="1"/>
  </si>
  <si>
    <t>雑に言うと、基本はスティック移動を優先する</t>
    <rPh sb="0" eb="1">
      <t>ザツ</t>
    </rPh>
    <rPh sb="2" eb="3">
      <t>イ</t>
    </rPh>
    <rPh sb="6" eb="8">
      <t>キホン</t>
    </rPh>
    <rPh sb="14" eb="16">
      <t>イドウ</t>
    </rPh>
    <rPh sb="17" eb="19">
      <t>ユウセン</t>
    </rPh>
    <phoneticPr fontId="1"/>
  </si>
  <si>
    <t>targetの処理の修正終わり</t>
    <rPh sb="7" eb="9">
      <t>ショリ</t>
    </rPh>
    <rPh sb="10" eb="12">
      <t>シュウセイ</t>
    </rPh>
    <rPh sb="12" eb="13">
      <t>オ</t>
    </rPh>
    <phoneticPr fontId="1"/>
  </si>
  <si>
    <t>次は、cameraStateパターンの実装をする</t>
    <rPh sb="0" eb="1">
      <t>ツギ</t>
    </rPh>
    <rPh sb="19" eb="21">
      <t>ジッソウ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</si>
</sst>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10">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
      <b/>
      <sz val="11"/>
      <color rgb="FF242424"/>
      <name val="Cascadia Mono"/>
      <family val="3"/>
    </font>
    <font>
      <sz val="11"/>
      <color rgb="FF242424"/>
      <name val="Cascadia Mono"/>
      <family val="3"/>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8">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xf numFmtId="0" fontId="8" fillId="0" borderId="0" xfId="0" applyFont="1"/>
    <xf numFmtId="0" fontId="9" fillId="0" borderId="0" xfId="0" applyFont="1"/>
    <xf numFmtId="0" fontId="0" fillId="20"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SUM(作業工数見積もり!E3:E78)</f>
        <v>192</v>
      </c>
    </row>
    <row r="4" spans="2:5">
      <c r="B4" s="5" t="s">
        <v>6</v>
      </c>
      <c r="C4">
        <f>SUMIF(作業工数見積もり!G3:G23,"完了",作業工数見積もり!E3:E23)</f>
        <v>25</v>
      </c>
      <c r="D4" t="s">
        <v>7</v>
      </c>
    </row>
    <row r="5" spans="2:5">
      <c r="B5" s="6" t="s">
        <v>8</v>
      </c>
      <c r="C5" s="2">
        <f ca="1">NETWORKDAYS(C6,C7)</f>
        <v>469</v>
      </c>
      <c r="D5" s="3">
        <f ca="1" xml:space="preserve"> C4 / C5</f>
        <v>5.3304904051172705E-2</v>
      </c>
    </row>
    <row r="6" spans="2:5">
      <c r="B6" s="7" t="s">
        <v>9</v>
      </c>
      <c r="C6" s="1">
        <f>DATE(2024,11,7)</f>
        <v>45603</v>
      </c>
    </row>
    <row r="7" spans="2:5">
      <c r="B7" s="8" t="s">
        <v>11</v>
      </c>
      <c r="C7" s="1">
        <f ca="1">TODAY()</f>
        <v>46259</v>
      </c>
    </row>
    <row r="9" spans="2:5">
      <c r="D9" t="s">
        <v>12</v>
      </c>
      <c r="E9" t="s">
        <v>13</v>
      </c>
    </row>
    <row r="10" spans="2:5">
      <c r="B10" s="4" t="s">
        <v>15</v>
      </c>
      <c r="C10" s="1">
        <f>DATE(2024,12,20)</f>
        <v>45646</v>
      </c>
      <c r="D10" s="2">
        <f ca="1">NETWORKDAYS(TODAY(),C10)</f>
        <v>-438</v>
      </c>
      <c r="E10" s="3">
        <f ca="1">($C$3 - $C$4) / D10</f>
        <v>-0.38127853881278539</v>
      </c>
    </row>
    <row r="11" spans="2:5">
      <c r="B11" s="9" t="s">
        <v>16</v>
      </c>
      <c r="C11" s="1">
        <f>DATE(2025,1,17)</f>
        <v>45674</v>
      </c>
      <c r="D11" s="2">
        <f ca="1">NETWORKDAYS(TODAY(),C11)</f>
        <v>-418</v>
      </c>
      <c r="E11" s="3">
        <f ca="1">($C$3 - $C$4) / D11</f>
        <v>-0.39952153110047844</v>
      </c>
    </row>
    <row r="12" spans="2:5">
      <c r="B12" s="6" t="s">
        <v>17</v>
      </c>
      <c r="C12" s="1">
        <f>DATE(2025,2,3)</f>
        <v>45691</v>
      </c>
      <c r="D12" s="2">
        <f ca="1">NETWORKDAYS(TODAY(),C12)</f>
        <v>-407</v>
      </c>
      <c r="E12" s="3">
        <f ca="1">($C$3 - $C$4) / D12</f>
        <v>-0.41031941031941033</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9"/>
  <sheetViews>
    <sheetView topLeftCell="A13" zoomScale="85" zoomScaleNormal="85" workbookViewId="0">
      <selection activeCell="B59" sqref="B59"/>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57</v>
      </c>
      <c r="I3" s="25" t="s">
        <v>61</v>
      </c>
      <c r="J3" s="10">
        <f>SUM(J4,J5,J6)</f>
        <v>192</v>
      </c>
      <c r="K3" s="10">
        <f>SUMIFS(E3:E57,G3:G57,"未着手")</f>
        <v>101</v>
      </c>
      <c r="L3" s="10">
        <f>SUM(F3:F43)</f>
        <v>45</v>
      </c>
      <c r="M3" s="10">
        <f ca="1">INT(J11 - TODAY())</f>
        <v>6</v>
      </c>
      <c r="N3" s="10">
        <f ca="1">K3/M3</f>
        <v>16.833333333333332</v>
      </c>
    </row>
    <row r="4" spans="1:14" ht="26.25" hidden="1" customHeight="1">
      <c r="A4" s="17" t="s">
        <v>35</v>
      </c>
      <c r="B4" s="10" t="s">
        <v>48</v>
      </c>
      <c r="C4" s="16" t="s">
        <v>14</v>
      </c>
      <c r="D4" s="16" t="s">
        <v>10</v>
      </c>
      <c r="E4" s="16">
        <v>0</v>
      </c>
      <c r="G4" s="16" t="s">
        <v>39</v>
      </c>
      <c r="I4" s="26" t="s">
        <v>28</v>
      </c>
      <c r="J4" s="29">
        <f>SUMIF(D3:D57,I4,E3:E57)</f>
        <v>94</v>
      </c>
      <c r="K4" s="10">
        <f>SUMIFS(E3:E57,G3:G57,"未着手",D3:D57,I4)</f>
        <v>27</v>
      </c>
      <c r="L4" s="10">
        <f>SUMIFS(F3:F43,D3:D43,I4)</f>
        <v>45</v>
      </c>
      <c r="M4" s="10">
        <f ca="1">INT(J12-TODAY())</f>
        <v>-39</v>
      </c>
      <c r="N4" s="10">
        <f ca="1">J4/M4</f>
        <v>-2.4102564102564101</v>
      </c>
    </row>
    <row r="5" spans="1:14" ht="16.5" hidden="1" customHeight="1">
      <c r="A5" s="17" t="s">
        <v>35</v>
      </c>
      <c r="B5" s="10" t="s">
        <v>49</v>
      </c>
      <c r="C5" s="16" t="s">
        <v>14</v>
      </c>
      <c r="D5" s="16" t="s">
        <v>10</v>
      </c>
      <c r="E5" s="16">
        <v>0</v>
      </c>
      <c r="G5" s="16" t="s">
        <v>39</v>
      </c>
      <c r="I5" s="27" t="s">
        <v>0</v>
      </c>
      <c r="J5" s="29">
        <f>SUMIF(D3:D57,I5,E3:E57)</f>
        <v>82</v>
      </c>
      <c r="K5" s="10">
        <f>SUMIFS(E3:E57,G3:G57,"未着手",D3:D57,I5)</f>
        <v>59</v>
      </c>
      <c r="L5" s="10">
        <f>SUMIFS(F4:F49,D4:D49,I5)</f>
        <v>0</v>
      </c>
      <c r="M5" s="10">
        <f t="shared" ref="M5:M6" ca="1" si="0">INT(J13-TODAY())</f>
        <v>-15</v>
      </c>
      <c r="N5" s="10">
        <f t="shared" ref="N5:N6" ca="1" si="1">J5/M5</f>
        <v>-5.4666666666666668</v>
      </c>
    </row>
    <row r="6" spans="1:14" ht="19.5" hidden="1" customHeight="1">
      <c r="A6" s="17" t="s">
        <v>35</v>
      </c>
      <c r="B6" s="10" t="s">
        <v>36</v>
      </c>
      <c r="C6" s="16" t="s">
        <v>14</v>
      </c>
      <c r="D6" s="16" t="s">
        <v>10</v>
      </c>
      <c r="E6" s="16">
        <v>0</v>
      </c>
      <c r="G6" s="16" t="s">
        <v>39</v>
      </c>
      <c r="I6" s="28" t="s">
        <v>29</v>
      </c>
      <c r="J6" s="29">
        <f>SUMIF(D3:D57,I6,E3:E57)</f>
        <v>16</v>
      </c>
      <c r="K6" s="10">
        <f>SUMIFS(E3:E57,G3:G57,"未着手",D3:D57,I6)</f>
        <v>15</v>
      </c>
      <c r="L6" s="10">
        <f>SUMIFS(F5:F49,D5:D49,I6)</f>
        <v>1</v>
      </c>
      <c r="M6" s="10">
        <f t="shared" ca="1" si="0"/>
        <v>2</v>
      </c>
      <c r="N6" s="10">
        <f t="shared" ca="1" si="1"/>
        <v>8</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F11" s="16" t="s">
        <v>480</v>
      </c>
      <c r="G11" s="16" t="s">
        <v>481</v>
      </c>
      <c r="I11" s="10" t="s">
        <v>295</v>
      </c>
      <c r="J11" s="50">
        <v>46265</v>
      </c>
    </row>
    <row r="12" spans="1:14">
      <c r="A12" s="19" t="s">
        <v>44</v>
      </c>
      <c r="B12" s="10" t="s">
        <v>254</v>
      </c>
      <c r="C12" s="16" t="s">
        <v>257</v>
      </c>
      <c r="D12" s="16" t="s">
        <v>18</v>
      </c>
      <c r="E12" s="16">
        <v>12</v>
      </c>
      <c r="F12" s="16">
        <v>4</v>
      </c>
      <c r="G12" s="16" t="s">
        <v>57</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F16" s="16" t="s">
        <v>480</v>
      </c>
      <c r="G16" s="16" t="s">
        <v>39</v>
      </c>
    </row>
    <row r="17" spans="1:7">
      <c r="A17" s="19" t="s">
        <v>44</v>
      </c>
      <c r="B17" s="10" t="s">
        <v>386</v>
      </c>
      <c r="C17" s="16" t="s">
        <v>5</v>
      </c>
      <c r="D17" s="16" t="s">
        <v>18</v>
      </c>
      <c r="E17" s="16">
        <v>1</v>
      </c>
      <c r="F17" s="16">
        <v>1</v>
      </c>
      <c r="G17" s="16" t="s">
        <v>57</v>
      </c>
    </row>
    <row r="18" spans="1:7">
      <c r="A18" s="19" t="s">
        <v>44</v>
      </c>
      <c r="B18" s="10" t="s">
        <v>307</v>
      </c>
      <c r="C18" s="16" t="s">
        <v>5</v>
      </c>
      <c r="D18" s="16" t="s">
        <v>18</v>
      </c>
      <c r="E18" s="16">
        <v>2</v>
      </c>
      <c r="F18" s="16">
        <v>2</v>
      </c>
      <c r="G18" s="16" t="s">
        <v>57</v>
      </c>
    </row>
    <row r="19" spans="1:7">
      <c r="A19" s="19" t="s">
        <v>44</v>
      </c>
      <c r="B19" s="10" t="s">
        <v>334</v>
      </c>
      <c r="C19" s="16" t="s">
        <v>5</v>
      </c>
      <c r="D19" s="16" t="s">
        <v>18</v>
      </c>
      <c r="G19" s="16" t="s">
        <v>57</v>
      </c>
    </row>
    <row r="20" spans="1:7">
      <c r="A20" s="19" t="s">
        <v>44</v>
      </c>
      <c r="B20" s="10" t="s">
        <v>335</v>
      </c>
      <c r="C20" s="16" t="s">
        <v>5</v>
      </c>
      <c r="D20" s="16" t="s">
        <v>18</v>
      </c>
      <c r="G20" s="16" t="s">
        <v>57</v>
      </c>
    </row>
    <row r="21" spans="1:7">
      <c r="A21" s="19" t="s">
        <v>44</v>
      </c>
      <c r="B21" s="10" t="s">
        <v>260</v>
      </c>
      <c r="C21" s="16" t="s">
        <v>5</v>
      </c>
      <c r="D21" s="16" t="s">
        <v>18</v>
      </c>
      <c r="E21" s="16">
        <v>8</v>
      </c>
      <c r="G21" s="16" t="s">
        <v>306</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c r="A25" s="20" t="s">
        <v>46</v>
      </c>
      <c r="B25" s="10" t="s">
        <v>275</v>
      </c>
      <c r="C25" s="16" t="s">
        <v>5</v>
      </c>
      <c r="D25" s="16" t="s">
        <v>18</v>
      </c>
      <c r="E25" s="16">
        <v>4</v>
      </c>
      <c r="F25" s="16">
        <v>2</v>
      </c>
      <c r="G25" s="16" t="s">
        <v>57</v>
      </c>
    </row>
    <row r="26" spans="1:7">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c r="A35" s="21" t="s">
        <v>40</v>
      </c>
      <c r="B35" s="10" t="s">
        <v>291</v>
      </c>
      <c r="C35" s="16" t="s">
        <v>5</v>
      </c>
      <c r="D35" s="16" t="s">
        <v>18</v>
      </c>
      <c r="E35" s="16">
        <v>2</v>
      </c>
      <c r="F35" s="16">
        <v>12</v>
      </c>
      <c r="G35" s="16" t="s">
        <v>57</v>
      </c>
    </row>
    <row r="36" spans="1:7">
      <c r="A36" s="21" t="s">
        <v>40</v>
      </c>
      <c r="B36" s="10" t="s">
        <v>387</v>
      </c>
      <c r="C36" s="16" t="s">
        <v>5</v>
      </c>
      <c r="D36" s="16" t="s">
        <v>18</v>
      </c>
      <c r="E36" s="16">
        <v>3</v>
      </c>
      <c r="F36" s="16">
        <v>4</v>
      </c>
      <c r="G36" s="16" t="s">
        <v>57</v>
      </c>
    </row>
    <row r="37" spans="1:7">
      <c r="A37" s="21" t="s">
        <v>40</v>
      </c>
      <c r="B37" s="10" t="s">
        <v>272</v>
      </c>
      <c r="C37" s="16" t="s">
        <v>257</v>
      </c>
      <c r="D37" s="16" t="s">
        <v>18</v>
      </c>
      <c r="E37" s="16">
        <v>3</v>
      </c>
      <c r="G37" s="16" t="s">
        <v>39</v>
      </c>
    </row>
    <row r="38" spans="1:7">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c r="A40" s="22" t="s">
        <v>41</v>
      </c>
      <c r="B40" s="10" t="s">
        <v>348</v>
      </c>
      <c r="C40" s="16" t="s">
        <v>5</v>
      </c>
      <c r="D40" s="16" t="s">
        <v>18</v>
      </c>
      <c r="E40" s="16">
        <v>1</v>
      </c>
      <c r="F40" s="16">
        <v>1</v>
      </c>
      <c r="G40" s="16" t="s">
        <v>57</v>
      </c>
    </row>
    <row r="41" spans="1:7">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F44" s="16">
        <v>1</v>
      </c>
      <c r="G44" s="16" t="s">
        <v>57</v>
      </c>
    </row>
    <row r="45" spans="1:7" hidden="1">
      <c r="A45" s="10" t="s">
        <v>277</v>
      </c>
      <c r="B45" s="10" t="s">
        <v>281</v>
      </c>
      <c r="D45" s="16" t="s">
        <v>10</v>
      </c>
      <c r="E45" s="16">
        <v>6</v>
      </c>
      <c r="G45" s="16" t="s">
        <v>39</v>
      </c>
    </row>
    <row r="46" spans="1:7" hidden="1">
      <c r="A46" s="10" t="s">
        <v>277</v>
      </c>
      <c r="B46" s="10" t="s">
        <v>282</v>
      </c>
      <c r="C46" s="16" t="s">
        <v>5</v>
      </c>
      <c r="D46" s="16" t="s">
        <v>10</v>
      </c>
      <c r="E46" s="16">
        <v>6</v>
      </c>
      <c r="G46" s="16" t="s">
        <v>39</v>
      </c>
    </row>
    <row r="47" spans="1:7" hidden="1">
      <c r="A47" s="10" t="s">
        <v>277</v>
      </c>
      <c r="B47" s="10" t="s">
        <v>478</v>
      </c>
      <c r="C47" s="16" t="s">
        <v>5</v>
      </c>
      <c r="D47" s="16" t="s">
        <v>10</v>
      </c>
      <c r="E47" s="16">
        <v>3</v>
      </c>
      <c r="G47" s="16" t="s">
        <v>306</v>
      </c>
    </row>
    <row r="48" spans="1:7" hidden="1">
      <c r="A48" s="10" t="s">
        <v>277</v>
      </c>
      <c r="B48" s="10" t="s">
        <v>479</v>
      </c>
      <c r="C48" s="16" t="s">
        <v>5</v>
      </c>
      <c r="D48" s="16" t="s">
        <v>10</v>
      </c>
      <c r="E48" s="16">
        <v>2</v>
      </c>
      <c r="G48" s="16" t="s">
        <v>306</v>
      </c>
    </row>
    <row r="49" spans="1:7">
      <c r="A49" s="10" t="s">
        <v>277</v>
      </c>
      <c r="B49" s="10" t="s">
        <v>283</v>
      </c>
      <c r="D49" s="16" t="s">
        <v>18</v>
      </c>
      <c r="E49" s="16">
        <v>0</v>
      </c>
      <c r="G49" s="16" t="s">
        <v>39</v>
      </c>
    </row>
    <row r="50" spans="1:7" hidden="1">
      <c r="A50" s="13" t="s">
        <v>38</v>
      </c>
      <c r="B50" s="10" t="s">
        <v>284</v>
      </c>
      <c r="C50" s="16" t="s">
        <v>257</v>
      </c>
      <c r="D50" s="16" t="s">
        <v>10</v>
      </c>
      <c r="E50" s="16">
        <v>1</v>
      </c>
      <c r="G50" s="16" t="s">
        <v>39</v>
      </c>
    </row>
    <row r="51" spans="1:7" hidden="1">
      <c r="A51" s="13" t="s">
        <v>38</v>
      </c>
      <c r="B51" s="10" t="s">
        <v>285</v>
      </c>
      <c r="C51" s="16" t="s">
        <v>5</v>
      </c>
      <c r="D51" s="16" t="s">
        <v>10</v>
      </c>
      <c r="E51" s="16">
        <v>8</v>
      </c>
      <c r="G51" s="16" t="s">
        <v>39</v>
      </c>
    </row>
    <row r="52" spans="1:7" hidden="1">
      <c r="A52" s="13" t="s">
        <v>38</v>
      </c>
      <c r="B52" s="10" t="s">
        <v>286</v>
      </c>
      <c r="C52" s="16" t="s">
        <v>5</v>
      </c>
      <c r="D52" s="16" t="s">
        <v>10</v>
      </c>
      <c r="E52" s="16">
        <v>6</v>
      </c>
      <c r="G52" s="16" t="s">
        <v>39</v>
      </c>
    </row>
    <row r="53" spans="1:7" hidden="1">
      <c r="A53" s="13" t="s">
        <v>38</v>
      </c>
      <c r="B53" s="10" t="s">
        <v>287</v>
      </c>
      <c r="C53" s="16" t="s">
        <v>5</v>
      </c>
      <c r="D53" s="16" t="s">
        <v>10</v>
      </c>
      <c r="E53" s="16">
        <v>8</v>
      </c>
      <c r="G53" s="16" t="s">
        <v>39</v>
      </c>
    </row>
    <row r="54" spans="1:7" hidden="1">
      <c r="A54" s="13" t="s">
        <v>38</v>
      </c>
      <c r="B54" s="10" t="s">
        <v>288</v>
      </c>
      <c r="C54" s="16" t="s">
        <v>5</v>
      </c>
      <c r="D54" s="16" t="s">
        <v>10</v>
      </c>
      <c r="E54" s="16">
        <v>8</v>
      </c>
      <c r="G54" s="16" t="s">
        <v>39</v>
      </c>
    </row>
    <row r="55" spans="1:7" hidden="1">
      <c r="A55" s="13" t="s">
        <v>38</v>
      </c>
      <c r="B55" s="10" t="s">
        <v>289</v>
      </c>
      <c r="C55" s="16" t="s">
        <v>5</v>
      </c>
      <c r="D55" s="16" t="s">
        <v>10</v>
      </c>
      <c r="E55" s="16">
        <v>4</v>
      </c>
      <c r="G55" s="16" t="s">
        <v>39</v>
      </c>
    </row>
    <row r="56" spans="1:7" hidden="1">
      <c r="A56" s="13" t="s">
        <v>38</v>
      </c>
      <c r="B56" s="10" t="s">
        <v>290</v>
      </c>
      <c r="C56" s="16" t="s">
        <v>5</v>
      </c>
      <c r="D56" s="16" t="s">
        <v>10</v>
      </c>
      <c r="E56" s="16">
        <v>12</v>
      </c>
      <c r="G56" s="16" t="s">
        <v>39</v>
      </c>
    </row>
    <row r="57" spans="1:7" hidden="1">
      <c r="A57" s="13" t="s">
        <v>38</v>
      </c>
      <c r="B57" s="10" t="s">
        <v>292</v>
      </c>
      <c r="C57" s="16" t="s">
        <v>5</v>
      </c>
      <c r="D57" s="16" t="s">
        <v>293</v>
      </c>
      <c r="E57" s="16">
        <v>12</v>
      </c>
      <c r="F57" s="10"/>
      <c r="G57" s="16" t="s">
        <v>39</v>
      </c>
    </row>
    <row r="59" spans="1:7">
      <c r="A59" s="10" t="s">
        <v>309</v>
      </c>
      <c r="B59" s="10" t="s">
        <v>310</v>
      </c>
    </row>
  </sheetData>
  <autoFilter ref="B2:G57" xr:uid="{00000000-0001-0000-0000-000000000000}">
    <filterColumn colId="2">
      <filters>
        <filter val="プロト"/>
      </filters>
    </filterColumn>
    <sortState xmlns:xlrd2="http://schemas.microsoft.com/office/spreadsheetml/2017/richdata2" ref="B3:G38">
      <sortCondition ref="B2:B38"/>
    </sortState>
  </autoFilter>
  <phoneticPr fontId="1"/>
  <dataValidations count="3">
    <dataValidation type="list" allowBlank="1" showInputMessage="1" showErrorMessage="1" sqref="D3:D57" xr:uid="{8982FD40-CA4D-4B92-93FE-B37B6B67ACD6}">
      <formula1>"プロト,アルファ,ベータ,マスタ"</formula1>
    </dataValidation>
    <dataValidation type="list" allowBlank="1" showInputMessage="1" showErrorMessage="1" sqref="G3:G57" xr:uid="{E1CFE88F-4F87-4696-BE21-1133C2AEB8C1}">
      <formula1>"未着手,作業中,完了"</formula1>
    </dataValidation>
    <dataValidation type="list" allowBlank="1" showInputMessage="1" showErrorMessage="1" sqref="C3:C57"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349</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350</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D257"/>
  <sheetViews>
    <sheetView tabSelected="1" topLeftCell="A249" workbookViewId="0">
      <selection activeCell="C258" sqref="C258"/>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333</v>
      </c>
    </row>
    <row r="44" spans="1:3">
      <c r="C44" t="s">
        <v>336</v>
      </c>
    </row>
    <row r="45" spans="1:3">
      <c r="C45" t="s">
        <v>337</v>
      </c>
    </row>
    <row r="46" spans="1:3">
      <c r="C46" t="s">
        <v>338</v>
      </c>
    </row>
    <row r="47" spans="1:3">
      <c r="C47" t="s">
        <v>339</v>
      </c>
    </row>
    <row r="48" spans="1:3">
      <c r="C48" t="s">
        <v>340</v>
      </c>
    </row>
    <row r="49" spans="1:3">
      <c r="A49" s="1">
        <v>46210</v>
      </c>
      <c r="C49" t="s">
        <v>341</v>
      </c>
    </row>
    <row r="50" spans="1:3">
      <c r="C50" t="s">
        <v>342</v>
      </c>
    </row>
    <row r="52" spans="1:3">
      <c r="A52" s="1">
        <v>46211</v>
      </c>
      <c r="C52" t="s">
        <v>343</v>
      </c>
    </row>
    <row r="53" spans="1:3">
      <c r="C53" t="s">
        <v>344</v>
      </c>
    </row>
    <row r="54" spans="1:3">
      <c r="C54" t="s">
        <v>345</v>
      </c>
    </row>
    <row r="55" spans="1:3">
      <c r="C55" t="s">
        <v>346</v>
      </c>
    </row>
    <row r="56" spans="1:3">
      <c r="C56" t="s">
        <v>347</v>
      </c>
    </row>
    <row r="58" spans="1:3">
      <c r="C58" t="s">
        <v>351</v>
      </c>
    </row>
    <row r="60" spans="1:3">
      <c r="C60" t="s">
        <v>377</v>
      </c>
    </row>
    <row r="61" spans="1:3">
      <c r="C61" t="s">
        <v>378</v>
      </c>
    </row>
    <row r="63" spans="1:3">
      <c r="A63" s="1">
        <v>46212</v>
      </c>
      <c r="C63" t="s">
        <v>379</v>
      </c>
    </row>
    <row r="64" spans="1:3">
      <c r="C64" t="s">
        <v>380</v>
      </c>
    </row>
    <row r="65" spans="1:3">
      <c r="C65" t="s">
        <v>381</v>
      </c>
    </row>
    <row r="66" spans="1:3">
      <c r="C66" t="s">
        <v>382</v>
      </c>
    </row>
    <row r="68" spans="1:3">
      <c r="A68" s="1">
        <v>46213</v>
      </c>
      <c r="C68" t="s">
        <v>383</v>
      </c>
    </row>
    <row r="69" spans="1:3">
      <c r="C69" t="s">
        <v>384</v>
      </c>
    </row>
    <row r="70" spans="1:3">
      <c r="C70" t="s">
        <v>385</v>
      </c>
    </row>
    <row r="72" spans="1:3">
      <c r="A72" s="1">
        <v>46214</v>
      </c>
      <c r="C72" t="s">
        <v>388</v>
      </c>
    </row>
    <row r="73" spans="1:3">
      <c r="C73" t="s">
        <v>389</v>
      </c>
    </row>
    <row r="74" spans="1:3">
      <c r="C74" t="s">
        <v>390</v>
      </c>
    </row>
    <row r="76" spans="1:3">
      <c r="C76" t="s">
        <v>391</v>
      </c>
    </row>
    <row r="77" spans="1:3">
      <c r="C77" t="s">
        <v>392</v>
      </c>
    </row>
    <row r="78" spans="1:3">
      <c r="C78" t="s">
        <v>393</v>
      </c>
    </row>
    <row r="79" spans="1:3">
      <c r="C79" t="s">
        <v>394</v>
      </c>
    </row>
    <row r="81" spans="3:3">
      <c r="C81" t="s">
        <v>395</v>
      </c>
    </row>
    <row r="83" spans="3:3">
      <c r="C83" t="s">
        <v>397</v>
      </c>
    </row>
    <row r="84" spans="3:3">
      <c r="C84" t="s">
        <v>398</v>
      </c>
    </row>
    <row r="85" spans="3:3">
      <c r="C85" t="s">
        <v>399</v>
      </c>
    </row>
    <row r="87" spans="3:3">
      <c r="C87" t="s">
        <v>400</v>
      </c>
    </row>
    <row r="88" spans="3:3">
      <c r="C88" t="s">
        <v>401</v>
      </c>
    </row>
    <row r="90" spans="3:3">
      <c r="C90" t="s">
        <v>402</v>
      </c>
    </row>
    <row r="91" spans="3:3">
      <c r="C91" t="s">
        <v>403</v>
      </c>
    </row>
    <row r="92" spans="3:3">
      <c r="C92" t="s">
        <v>404</v>
      </c>
    </row>
    <row r="93" spans="3:3">
      <c r="C93" t="s">
        <v>405</v>
      </c>
    </row>
    <row r="94" spans="3:3">
      <c r="C94" t="s">
        <v>406</v>
      </c>
    </row>
    <row r="95" spans="3:3">
      <c r="C95" t="s">
        <v>407</v>
      </c>
    </row>
    <row r="96" spans="3:3">
      <c r="C96" t="s">
        <v>408</v>
      </c>
    </row>
    <row r="97" spans="1:3">
      <c r="C97" t="s">
        <v>409</v>
      </c>
    </row>
    <row r="99" spans="1:3">
      <c r="A99" s="1">
        <v>46215</v>
      </c>
      <c r="C99" t="s">
        <v>410</v>
      </c>
    </row>
    <row r="100" spans="1:3">
      <c r="C100" t="s">
        <v>411</v>
      </c>
    </row>
    <row r="101" spans="1:3">
      <c r="C101" t="s">
        <v>412</v>
      </c>
    </row>
    <row r="102" spans="1:3">
      <c r="C102" t="s">
        <v>413</v>
      </c>
    </row>
    <row r="103" spans="1:3">
      <c r="C103" t="s">
        <v>414</v>
      </c>
    </row>
    <row r="104" spans="1:3">
      <c r="C104" t="s">
        <v>415</v>
      </c>
    </row>
    <row r="105" spans="1:3">
      <c r="C105" t="s">
        <v>416</v>
      </c>
    </row>
    <row r="106" spans="1:3">
      <c r="C106" t="s">
        <v>417</v>
      </c>
    </row>
    <row r="107" spans="1:3">
      <c r="C107" t="s">
        <v>418</v>
      </c>
    </row>
    <row r="109" spans="1:3">
      <c r="A109" s="1">
        <v>46216</v>
      </c>
      <c r="C109" t="s">
        <v>419</v>
      </c>
    </row>
    <row r="110" spans="1:3">
      <c r="C110" t="s">
        <v>420</v>
      </c>
    </row>
    <row r="111" spans="1:3">
      <c r="C111" t="s">
        <v>421</v>
      </c>
    </row>
    <row r="112" spans="1:3">
      <c r="C112" t="s">
        <v>422</v>
      </c>
    </row>
    <row r="113" spans="1:3">
      <c r="C113" t="s">
        <v>423</v>
      </c>
    </row>
    <row r="114" spans="1:3">
      <c r="C114" t="s">
        <v>424</v>
      </c>
    </row>
    <row r="115" spans="1:3">
      <c r="C115" t="s">
        <v>425</v>
      </c>
    </row>
    <row r="116" spans="1:3">
      <c r="C116" t="s">
        <v>426</v>
      </c>
    </row>
    <row r="118" spans="1:3">
      <c r="A118" s="1">
        <v>46218</v>
      </c>
      <c r="C118" t="s">
        <v>432</v>
      </c>
    </row>
    <row r="119" spans="1:3">
      <c r="C119" t="s">
        <v>433</v>
      </c>
    </row>
    <row r="121" spans="1:3">
      <c r="C121" t="s">
        <v>434</v>
      </c>
    </row>
    <row r="122" spans="1:3">
      <c r="C122" t="s">
        <v>435</v>
      </c>
    </row>
    <row r="123" spans="1:3">
      <c r="C123" t="s">
        <v>436</v>
      </c>
    </row>
    <row r="124" spans="1:3">
      <c r="A124" s="1">
        <v>46219</v>
      </c>
      <c r="C124" t="s">
        <v>437</v>
      </c>
    </row>
    <row r="125" spans="1:3">
      <c r="A125" s="1">
        <v>46220</v>
      </c>
      <c r="C125" t="s">
        <v>438</v>
      </c>
    </row>
    <row r="126" spans="1:3">
      <c r="C126" t="s">
        <v>439</v>
      </c>
    </row>
    <row r="127" spans="1:3">
      <c r="C127" t="s">
        <v>440</v>
      </c>
    </row>
    <row r="128" spans="1:3">
      <c r="C128" t="s">
        <v>441</v>
      </c>
    </row>
    <row r="129" spans="1:3">
      <c r="C129" t="s">
        <v>442</v>
      </c>
    </row>
    <row r="130" spans="1:3">
      <c r="A130" s="1">
        <v>46221</v>
      </c>
      <c r="C130" t="s">
        <v>443</v>
      </c>
    </row>
    <row r="131" spans="1:3">
      <c r="C131" t="s">
        <v>444</v>
      </c>
    </row>
    <row r="132" spans="1:3">
      <c r="C132" t="s">
        <v>445</v>
      </c>
    </row>
    <row r="133" spans="1:3">
      <c r="C133" t="s">
        <v>446</v>
      </c>
    </row>
    <row r="134" spans="1:3">
      <c r="C134" t="s">
        <v>447</v>
      </c>
    </row>
    <row r="135" spans="1:3">
      <c r="C135" t="s">
        <v>448</v>
      </c>
    </row>
    <row r="136" spans="1:3">
      <c r="C136" t="s">
        <v>449</v>
      </c>
    </row>
    <row r="137" spans="1:3">
      <c r="C137" t="s">
        <v>450</v>
      </c>
    </row>
    <row r="138" spans="1:3">
      <c r="C138" t="s">
        <v>451</v>
      </c>
    </row>
    <row r="139" spans="1:3">
      <c r="C139" t="s">
        <v>458</v>
      </c>
    </row>
    <row r="140" spans="1:3">
      <c r="C140" t="s">
        <v>459</v>
      </c>
    </row>
    <row r="142" spans="1:3">
      <c r="A142" s="1">
        <v>46224</v>
      </c>
      <c r="C142" t="s">
        <v>461</v>
      </c>
    </row>
    <row r="143" spans="1:3">
      <c r="C143" t="s">
        <v>462</v>
      </c>
    </row>
    <row r="144" spans="1:3">
      <c r="C144" t="s">
        <v>463</v>
      </c>
    </row>
    <row r="145" spans="1:3">
      <c r="C145" t="s">
        <v>464</v>
      </c>
    </row>
    <row r="146" spans="1:3">
      <c r="C146" t="s">
        <v>465</v>
      </c>
    </row>
    <row r="147" spans="1:3">
      <c r="C147" t="s">
        <v>466</v>
      </c>
    </row>
    <row r="148" spans="1:3">
      <c r="C148" t="s">
        <v>467</v>
      </c>
    </row>
    <row r="149" spans="1:3">
      <c r="C149" t="s">
        <v>468</v>
      </c>
    </row>
    <row r="150" spans="1:3">
      <c r="C150" t="s">
        <v>469</v>
      </c>
    </row>
    <row r="152" spans="1:3">
      <c r="C152" t="s">
        <v>470</v>
      </c>
    </row>
    <row r="153" spans="1:3">
      <c r="A153" s="1">
        <v>46225</v>
      </c>
      <c r="C153" t="s">
        <v>472</v>
      </c>
    </row>
    <row r="154" spans="1:3">
      <c r="C154" t="s">
        <v>471</v>
      </c>
    </row>
    <row r="155" spans="1:3">
      <c r="C155" t="s">
        <v>473</v>
      </c>
    </row>
    <row r="156" spans="1:3">
      <c r="C156" t="s">
        <v>474</v>
      </c>
    </row>
    <row r="158" spans="1:3">
      <c r="A158" s="1">
        <v>46226</v>
      </c>
      <c r="C158" t="s">
        <v>476</v>
      </c>
    </row>
    <row r="159" spans="1:3">
      <c r="C159" t="s">
        <v>477</v>
      </c>
    </row>
    <row r="161" spans="1:3">
      <c r="A161" s="1">
        <v>46236</v>
      </c>
      <c r="C161" t="s">
        <v>482</v>
      </c>
    </row>
    <row r="162" spans="1:3">
      <c r="C162" t="s">
        <v>483</v>
      </c>
    </row>
    <row r="163" spans="1:3">
      <c r="C163" t="s">
        <v>484</v>
      </c>
    </row>
    <row r="164" spans="1:3">
      <c r="C164" t="s">
        <v>485</v>
      </c>
    </row>
    <row r="165" spans="1:3">
      <c r="C165" t="s">
        <v>486</v>
      </c>
    </row>
    <row r="166" spans="1:3">
      <c r="C166" t="s">
        <v>487</v>
      </c>
    </row>
    <row r="167" spans="1:3">
      <c r="C167" t="s">
        <v>488</v>
      </c>
    </row>
    <row r="169" spans="1:3">
      <c r="C169" t="s">
        <v>489</v>
      </c>
    </row>
    <row r="170" spans="1:3">
      <c r="C170" t="s">
        <v>490</v>
      </c>
    </row>
    <row r="171" spans="1:3">
      <c r="C171" t="s">
        <v>491</v>
      </c>
    </row>
    <row r="172" spans="1:3">
      <c r="C172" t="s">
        <v>492</v>
      </c>
    </row>
    <row r="173" spans="1:3">
      <c r="A173" s="1">
        <v>46242</v>
      </c>
      <c r="C173" t="s">
        <v>493</v>
      </c>
    </row>
    <row r="174" spans="1:3">
      <c r="C174" t="s">
        <v>494</v>
      </c>
    </row>
    <row r="175" spans="1:3">
      <c r="C175" t="s">
        <v>495</v>
      </c>
    </row>
    <row r="176" spans="1:3">
      <c r="C176" t="s">
        <v>496</v>
      </c>
    </row>
    <row r="177" spans="1:3">
      <c r="C177" t="s">
        <v>497</v>
      </c>
    </row>
    <row r="179" spans="1:3">
      <c r="A179" s="1">
        <v>46244</v>
      </c>
      <c r="C179" t="s">
        <v>498</v>
      </c>
    </row>
    <row r="180" spans="1:3">
      <c r="C180" t="s">
        <v>499</v>
      </c>
    </row>
    <row r="181" spans="1:3">
      <c r="C181" t="s">
        <v>500</v>
      </c>
    </row>
    <row r="182" spans="1:3">
      <c r="C182" t="s">
        <v>501</v>
      </c>
    </row>
    <row r="183" spans="1:3">
      <c r="C183" t="s">
        <v>502</v>
      </c>
    </row>
    <row r="184" spans="1:3">
      <c r="C184" t="s">
        <v>503</v>
      </c>
    </row>
    <row r="186" spans="1:3">
      <c r="C186" t="s">
        <v>504</v>
      </c>
    </row>
    <row r="187" spans="1:3">
      <c r="C187" t="s">
        <v>505</v>
      </c>
    </row>
    <row r="188" spans="1:3">
      <c r="C188" t="s">
        <v>506</v>
      </c>
    </row>
    <row r="189" spans="1:3">
      <c r="C189" t="s">
        <v>507</v>
      </c>
    </row>
    <row r="191" spans="1:3">
      <c r="C191" t="s">
        <v>508</v>
      </c>
    </row>
    <row r="192" spans="1:3">
      <c r="B192" t="s">
        <v>511</v>
      </c>
      <c r="C192" t="s">
        <v>509</v>
      </c>
    </row>
    <row r="193" spans="1:3">
      <c r="B193" t="s">
        <v>511</v>
      </c>
      <c r="C193" t="s">
        <v>510</v>
      </c>
    </row>
    <row r="194" spans="1:3">
      <c r="A194" t="s">
        <v>515</v>
      </c>
      <c r="B194" t="s">
        <v>513</v>
      </c>
      <c r="C194" t="s">
        <v>514</v>
      </c>
    </row>
    <row r="195" spans="1:3">
      <c r="B195" t="s">
        <v>511</v>
      </c>
      <c r="C195" t="s">
        <v>512</v>
      </c>
    </row>
    <row r="196" spans="1:3">
      <c r="C196" t="s">
        <v>516</v>
      </c>
    </row>
    <row r="197" spans="1:3">
      <c r="C197" t="s">
        <v>517</v>
      </c>
    </row>
    <row r="198" spans="1:3">
      <c r="C198" t="s">
        <v>518</v>
      </c>
    </row>
    <row r="199" spans="1:3">
      <c r="C199" t="s">
        <v>519</v>
      </c>
    </row>
    <row r="200" spans="1:3">
      <c r="C200" t="s">
        <v>520</v>
      </c>
    </row>
    <row r="202" spans="1:3">
      <c r="C202" t="s">
        <v>521</v>
      </c>
    </row>
    <row r="203" spans="1:3">
      <c r="C203" t="s">
        <v>522</v>
      </c>
    </row>
    <row r="204" spans="1:3">
      <c r="C204" t="s">
        <v>523</v>
      </c>
    </row>
    <row r="205" spans="1:3">
      <c r="C205" t="s">
        <v>524</v>
      </c>
    </row>
    <row r="207" spans="1:3">
      <c r="C207" t="s">
        <v>525</v>
      </c>
    </row>
    <row r="208" spans="1:3">
      <c r="C208" t="s">
        <v>526</v>
      </c>
    </row>
    <row r="209" spans="1:3">
      <c r="C209" t="s">
        <v>527</v>
      </c>
    </row>
    <row r="210" spans="1:3">
      <c r="C210" t="s">
        <v>528</v>
      </c>
    </row>
    <row r="211" spans="1:3">
      <c r="C211" t="s">
        <v>529</v>
      </c>
    </row>
    <row r="212" spans="1:3">
      <c r="A212" s="1">
        <v>46255</v>
      </c>
      <c r="C212" t="s">
        <v>530</v>
      </c>
    </row>
    <row r="213" spans="1:3">
      <c r="C213" t="s">
        <v>531</v>
      </c>
    </row>
    <row r="214" spans="1:3">
      <c r="C214" t="s">
        <v>532</v>
      </c>
    </row>
    <row r="215" spans="1:3">
      <c r="C215" t="s">
        <v>533</v>
      </c>
    </row>
    <row r="216" spans="1:3">
      <c r="C216" t="s">
        <v>534</v>
      </c>
    </row>
    <row r="217" spans="1:3">
      <c r="C217" t="s">
        <v>535</v>
      </c>
    </row>
    <row r="218" spans="1:3">
      <c r="C218" t="s">
        <v>536</v>
      </c>
    </row>
    <row r="219" spans="1:3">
      <c r="C219" t="s">
        <v>537</v>
      </c>
    </row>
    <row r="220" spans="1:3">
      <c r="C220" t="s">
        <v>538</v>
      </c>
    </row>
    <row r="221" spans="1:3">
      <c r="C221" t="s">
        <v>539</v>
      </c>
    </row>
    <row r="222" spans="1:3">
      <c r="C222" t="s">
        <v>540</v>
      </c>
    </row>
    <row r="223" spans="1:3">
      <c r="C223" t="s">
        <v>541</v>
      </c>
    </row>
    <row r="224" spans="1:3">
      <c r="A224" s="1">
        <v>46257</v>
      </c>
      <c r="C224" t="s">
        <v>542</v>
      </c>
    </row>
    <row r="225" spans="2:4">
      <c r="C225" t="s">
        <v>543</v>
      </c>
    </row>
    <row r="226" spans="2:4">
      <c r="C226" t="s">
        <v>544</v>
      </c>
    </row>
    <row r="228" spans="2:4">
      <c r="C228" t="s">
        <v>545</v>
      </c>
      <c r="D228" t="s">
        <v>557</v>
      </c>
    </row>
    <row r="229" spans="2:4">
      <c r="B229" t="s">
        <v>555</v>
      </c>
      <c r="C229" s="57" t="s">
        <v>546</v>
      </c>
    </row>
    <row r="230" spans="2:4">
      <c r="B230" t="s">
        <v>554</v>
      </c>
      <c r="C230" s="57" t="s">
        <v>547</v>
      </c>
    </row>
    <row r="231" spans="2:4">
      <c r="B231" t="s">
        <v>554</v>
      </c>
      <c r="C231" s="57" t="s">
        <v>548</v>
      </c>
    </row>
    <row r="232" spans="2:4">
      <c r="B232" t="s">
        <v>556</v>
      </c>
      <c r="C232" t="s">
        <v>549</v>
      </c>
    </row>
    <row r="233" spans="2:4">
      <c r="B233" t="s">
        <v>556</v>
      </c>
      <c r="C233" t="s">
        <v>551</v>
      </c>
    </row>
    <row r="234" spans="2:4">
      <c r="B234" t="s">
        <v>555</v>
      </c>
      <c r="C234" t="s">
        <v>552</v>
      </c>
    </row>
    <row r="235" spans="2:4">
      <c r="B235" t="s">
        <v>555</v>
      </c>
      <c r="C235" t="s">
        <v>553</v>
      </c>
    </row>
    <row r="236" spans="2:4">
      <c r="B236" t="s">
        <v>556</v>
      </c>
      <c r="C236" t="s">
        <v>550</v>
      </c>
    </row>
    <row r="237" spans="2:4">
      <c r="B237" t="s">
        <v>555</v>
      </c>
      <c r="C237" t="s">
        <v>558</v>
      </c>
    </row>
    <row r="238" spans="2:4">
      <c r="B238" t="s">
        <v>614</v>
      </c>
      <c r="C238" s="57" t="s">
        <v>613</v>
      </c>
    </row>
    <row r="239" spans="2:4">
      <c r="B239" t="s">
        <v>614</v>
      </c>
      <c r="C239" s="57" t="s">
        <v>616</v>
      </c>
    </row>
    <row r="240" spans="2:4">
      <c r="B240" t="s">
        <v>615</v>
      </c>
      <c r="C240" t="s">
        <v>612</v>
      </c>
    </row>
    <row r="241" spans="1:3">
      <c r="A241" s="1">
        <v>46258</v>
      </c>
      <c r="C241" t="s">
        <v>530</v>
      </c>
    </row>
    <row r="242" spans="1:3">
      <c r="C242" t="s">
        <v>563</v>
      </c>
    </row>
    <row r="243" spans="1:3">
      <c r="C243" t="s">
        <v>564</v>
      </c>
    </row>
    <row r="245" spans="1:3">
      <c r="C245" t="s">
        <v>571</v>
      </c>
    </row>
    <row r="246" spans="1:3">
      <c r="C246" t="s">
        <v>572</v>
      </c>
    </row>
    <row r="247" spans="1:3">
      <c r="C247" t="s">
        <v>594</v>
      </c>
    </row>
    <row r="248" spans="1:3">
      <c r="C248" t="s">
        <v>595</v>
      </c>
    </row>
    <row r="249" spans="1:3">
      <c r="C249" t="s">
        <v>610</v>
      </c>
    </row>
    <row r="250" spans="1:3">
      <c r="A250" s="1">
        <v>46259</v>
      </c>
      <c r="C250" t="s">
        <v>611</v>
      </c>
    </row>
    <row r="251" spans="1:3">
      <c r="C251" t="s">
        <v>617</v>
      </c>
    </row>
    <row r="252" spans="1:3">
      <c r="C252" t="s">
        <v>618</v>
      </c>
    </row>
    <row r="253" spans="1:3">
      <c r="C253" t="s">
        <v>619</v>
      </c>
    </row>
    <row r="254" spans="1:3">
      <c r="C254" t="s">
        <v>633</v>
      </c>
    </row>
    <row r="255" spans="1:3">
      <c r="C255" t="s">
        <v>634</v>
      </c>
    </row>
    <row r="256" spans="1:3">
      <c r="C256" t="s">
        <v>635</v>
      </c>
    </row>
    <row r="257" spans="3:3">
      <c r="C257" t="s">
        <v>636</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218887-0FDF-44BB-AA49-E18A6D1E6450}">
  <dimension ref="A2:B45"/>
  <sheetViews>
    <sheetView topLeftCell="A31" workbookViewId="0">
      <selection activeCell="L42" sqref="L42"/>
    </sheetView>
  </sheetViews>
  <sheetFormatPr defaultRowHeight="18.75"/>
  <sheetData>
    <row r="2" spans="1:2">
      <c r="A2" t="s">
        <v>568</v>
      </c>
      <c r="B2" t="s">
        <v>565</v>
      </c>
    </row>
    <row r="3" spans="1:2">
      <c r="B3" t="s">
        <v>566</v>
      </c>
    </row>
    <row r="4" spans="1:2">
      <c r="B4" t="s">
        <v>567</v>
      </c>
    </row>
    <row r="5" spans="1:2">
      <c r="A5" t="s">
        <v>568</v>
      </c>
      <c r="B5" t="s">
        <v>569</v>
      </c>
    </row>
    <row r="6" spans="1:2">
      <c r="B6" t="s">
        <v>570</v>
      </c>
    </row>
    <row r="9" spans="1:2">
      <c r="A9" t="s">
        <v>597</v>
      </c>
      <c r="B9" t="s">
        <v>596</v>
      </c>
    </row>
    <row r="11" spans="1:2">
      <c r="B11" t="s">
        <v>598</v>
      </c>
    </row>
    <row r="13" spans="1:2">
      <c r="B13" t="s">
        <v>599</v>
      </c>
    </row>
    <row r="14" spans="1:2">
      <c r="B14" t="s">
        <v>600</v>
      </c>
    </row>
    <row r="15" spans="1:2">
      <c r="B15" t="s">
        <v>601</v>
      </c>
    </row>
    <row r="16" spans="1:2">
      <c r="B16" t="s">
        <v>602</v>
      </c>
    </row>
    <row r="18" spans="2:2">
      <c r="B18" t="s">
        <v>603</v>
      </c>
    </row>
    <row r="19" spans="2:2">
      <c r="B19" t="s">
        <v>604</v>
      </c>
    </row>
    <row r="20" spans="2:2">
      <c r="B20" t="s">
        <v>605</v>
      </c>
    </row>
    <row r="21" spans="2:2">
      <c r="B21" t="s">
        <v>606</v>
      </c>
    </row>
    <row r="22" spans="2:2">
      <c r="B22" t="s">
        <v>607</v>
      </c>
    </row>
    <row r="24" spans="2:2">
      <c r="B24" t="s">
        <v>608</v>
      </c>
    </row>
    <row r="25" spans="2:2">
      <c r="B25" t="s">
        <v>609</v>
      </c>
    </row>
    <row r="27" spans="2:2">
      <c r="B27" t="s">
        <v>620</v>
      </c>
    </row>
    <row r="28" spans="2:2">
      <c r="B28" t="s">
        <v>621</v>
      </c>
    </row>
    <row r="29" spans="2:2">
      <c r="B29" t="s">
        <v>622</v>
      </c>
    </row>
    <row r="31" spans="2:2">
      <c r="B31" t="s">
        <v>623</v>
      </c>
    </row>
    <row r="32" spans="2:2">
      <c r="B32" t="s">
        <v>627</v>
      </c>
    </row>
    <row r="33" spans="2:2">
      <c r="B33" t="s">
        <v>628</v>
      </c>
    </row>
    <row r="35" spans="2:2">
      <c r="B35" t="s">
        <v>624</v>
      </c>
    </row>
    <row r="36" spans="2:2">
      <c r="B36" t="s">
        <v>625</v>
      </c>
    </row>
    <row r="38" spans="2:2">
      <c r="B38" t="s">
        <v>626</v>
      </c>
    </row>
    <row r="39" spans="2:2">
      <c r="B39" t="s">
        <v>629</v>
      </c>
    </row>
    <row r="41" spans="2:2">
      <c r="B41" t="s">
        <v>630</v>
      </c>
    </row>
    <row r="43" spans="2:2">
      <c r="B43" t="s">
        <v>631</v>
      </c>
    </row>
    <row r="45" spans="2:2">
      <c r="B45" t="s">
        <v>632</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8A907-596B-4B61-8CB6-45BC6EA11F46}">
  <dimension ref="B2:B22"/>
  <sheetViews>
    <sheetView topLeftCell="A19" workbookViewId="0">
      <selection activeCell="J7" sqref="J7"/>
    </sheetView>
  </sheetViews>
  <sheetFormatPr defaultRowHeight="18.75"/>
  <sheetData>
    <row r="2" spans="2:2">
      <c r="B2" s="55" t="s">
        <v>573</v>
      </c>
    </row>
    <row r="3" spans="2:2">
      <c r="B3" s="56" t="s">
        <v>574</v>
      </c>
    </row>
    <row r="4" spans="2:2">
      <c r="B4" s="56" t="s">
        <v>575</v>
      </c>
    </row>
    <row r="5" spans="2:2">
      <c r="B5" s="56" t="s">
        <v>576</v>
      </c>
    </row>
    <row r="6" spans="2:2">
      <c r="B6" s="56" t="s">
        <v>577</v>
      </c>
    </row>
    <row r="7" spans="2:2">
      <c r="B7" s="56" t="s">
        <v>578</v>
      </c>
    </row>
    <row r="8" spans="2:2">
      <c r="B8" s="56" t="s">
        <v>579</v>
      </c>
    </row>
    <row r="9" spans="2:2">
      <c r="B9" s="56" t="s">
        <v>580</v>
      </c>
    </row>
    <row r="10" spans="2:2">
      <c r="B10" s="56" t="s">
        <v>581</v>
      </c>
    </row>
    <row r="11" spans="2:2">
      <c r="B11" s="56" t="s">
        <v>582</v>
      </c>
    </row>
    <row r="12" spans="2:2">
      <c r="B12" s="56" t="s">
        <v>583</v>
      </c>
    </row>
    <row r="13" spans="2:2">
      <c r="B13" s="56" t="s">
        <v>584</v>
      </c>
    </row>
    <row r="14" spans="2:2">
      <c r="B14" s="56" t="s">
        <v>585</v>
      </c>
    </row>
    <row r="15" spans="2:2">
      <c r="B15" s="56" t="s">
        <v>586</v>
      </c>
    </row>
    <row r="16" spans="2:2">
      <c r="B16" s="56" t="s">
        <v>587</v>
      </c>
    </row>
    <row r="17" spans="2:2">
      <c r="B17" s="56" t="s">
        <v>588</v>
      </c>
    </row>
    <row r="18" spans="2:2">
      <c r="B18" s="56" t="s">
        <v>589</v>
      </c>
    </row>
    <row r="19" spans="2:2">
      <c r="B19" s="56" t="s">
        <v>590</v>
      </c>
    </row>
    <row r="20" spans="2:2">
      <c r="B20" s="56" t="s">
        <v>591</v>
      </c>
    </row>
    <row r="21" spans="2:2">
      <c r="B21" s="56" t="s">
        <v>592</v>
      </c>
    </row>
    <row r="22" spans="2:2">
      <c r="B22" s="56" t="s">
        <v>593</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358</v>
      </c>
    </row>
    <row r="3" spans="4:18">
      <c r="D3" t="s">
        <v>352</v>
      </c>
    </row>
    <row r="4" spans="4:18">
      <c r="D4" t="s">
        <v>356</v>
      </c>
      <c r="H4" t="s">
        <v>353</v>
      </c>
    </row>
    <row r="5" spans="4:18">
      <c r="D5" t="s">
        <v>357</v>
      </c>
      <c r="H5" t="s">
        <v>354</v>
      </c>
      <c r="N5" t="s">
        <v>367</v>
      </c>
      <c r="O5" t="s">
        <v>368</v>
      </c>
      <c r="P5" t="s">
        <v>369</v>
      </c>
      <c r="Q5" t="s">
        <v>368</v>
      </c>
      <c r="R5" t="s">
        <v>370</v>
      </c>
    </row>
    <row r="6" spans="4:18">
      <c r="H6" t="s">
        <v>355</v>
      </c>
    </row>
    <row r="9" spans="4:18">
      <c r="D9" t="s">
        <v>359</v>
      </c>
    </row>
    <row r="10" spans="4:18">
      <c r="D10" t="s">
        <v>360</v>
      </c>
      <c r="E10" t="s">
        <v>361</v>
      </c>
      <c r="F10" t="s">
        <v>363</v>
      </c>
      <c r="G10" t="s">
        <v>364</v>
      </c>
      <c r="H10" t="s">
        <v>365</v>
      </c>
      <c r="I10" t="s">
        <v>99</v>
      </c>
      <c r="J10" t="s">
        <v>366</v>
      </c>
      <c r="K10" t="s">
        <v>362</v>
      </c>
    </row>
    <row r="12" spans="4:18">
      <c r="D12" s="54" t="s">
        <v>371</v>
      </c>
      <c r="E12" s="54" t="s">
        <v>372</v>
      </c>
    </row>
    <row r="13" spans="4:18">
      <c r="D13" s="54"/>
      <c r="E13" s="54" t="s">
        <v>373</v>
      </c>
    </row>
    <row r="15" spans="4:18">
      <c r="D15" t="s">
        <v>374</v>
      </c>
      <c r="E15" t="s">
        <v>107</v>
      </c>
      <c r="K15" t="s">
        <v>376</v>
      </c>
    </row>
    <row r="17" spans="14:16">
      <c r="N17" t="s">
        <v>277</v>
      </c>
      <c r="P17" t="s">
        <v>375</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18" workbookViewId="0">
      <selection activeCell="B32" sqref="B32"/>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475</v>
      </c>
    </row>
    <row r="33" spans="2:2">
      <c r="B33" t="s">
        <v>326</v>
      </c>
    </row>
    <row r="34" spans="2:2">
      <c r="B34" t="s">
        <v>328</v>
      </c>
    </row>
    <row r="35" spans="2:2">
      <c r="B35" t="s">
        <v>329</v>
      </c>
    </row>
    <row r="36" spans="2:2">
      <c r="B36" t="s">
        <v>327</v>
      </c>
    </row>
    <row r="37" spans="2:2">
      <c r="B37" t="s">
        <v>330</v>
      </c>
    </row>
    <row r="40" spans="2:2">
      <c r="B40" t="s">
        <v>331</v>
      </c>
    </row>
    <row r="41" spans="2:2">
      <c r="B41" t="s">
        <v>332</v>
      </c>
    </row>
    <row r="45" spans="2:2">
      <c r="B45" t="s">
        <v>396</v>
      </c>
    </row>
    <row r="47" spans="2:2">
      <c r="B47" t="s">
        <v>427</v>
      </c>
    </row>
    <row r="48" spans="2:2">
      <c r="B48" t="s">
        <v>428</v>
      </c>
    </row>
    <row r="49" spans="2:2">
      <c r="B49" t="s">
        <v>429</v>
      </c>
    </row>
    <row r="50" spans="2:2">
      <c r="B50" t="s">
        <v>430</v>
      </c>
    </row>
    <row r="51" spans="2:2">
      <c r="B51" t="s">
        <v>431</v>
      </c>
    </row>
    <row r="54" spans="2:2">
      <c r="B54" t="s">
        <v>452</v>
      </c>
    </row>
    <row r="55" spans="2:2">
      <c r="B55" t="s">
        <v>460</v>
      </c>
    </row>
    <row r="56" spans="2:2">
      <c r="B56" t="s">
        <v>453</v>
      </c>
    </row>
    <row r="61" spans="2:2">
      <c r="B61" t="s">
        <v>454</v>
      </c>
    </row>
    <row r="62" spans="2:2">
      <c r="B62" t="s">
        <v>455</v>
      </c>
    </row>
    <row r="63" spans="2:2">
      <c r="B63" t="s">
        <v>456</v>
      </c>
    </row>
    <row r="64" spans="2:2">
      <c r="B64" t="s">
        <v>457</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B6BCA-2C55-4226-858C-6FF0248D7A91}">
  <dimension ref="B2:B5"/>
  <sheetViews>
    <sheetView workbookViewId="0">
      <selection activeCell="B6" sqref="B6"/>
    </sheetView>
  </sheetViews>
  <sheetFormatPr defaultRowHeight="18.75"/>
  <sheetData>
    <row r="2" spans="2:2">
      <c r="B2" t="s">
        <v>559</v>
      </c>
    </row>
    <row r="3" spans="2:2">
      <c r="B3" t="s">
        <v>560</v>
      </c>
    </row>
    <row r="4" spans="2:2">
      <c r="B4" t="s">
        <v>561</v>
      </c>
    </row>
    <row r="5" spans="2:2">
      <c r="B5" t="s">
        <v>562</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3.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概要</vt:lpstr>
      <vt:lpstr>作業工数見積もり</vt:lpstr>
      <vt:lpstr>カレンダー</vt:lpstr>
      <vt:lpstr>日記</vt:lpstr>
      <vt:lpstr>インターン中気になったこと</vt:lpstr>
      <vt:lpstr>フィードバック</vt:lpstr>
      <vt:lpstr>Sheet1</vt:lpstr>
      <vt:lpstr>メモ</vt:lpstr>
      <vt:lpstr>雑用</vt:lpstr>
      <vt:lpstr>仕様書①</vt:lpstr>
      <vt:lpstr>仕様書②</vt:lpstr>
      <vt:lpstr>クラス設計</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泰稀（夏季インターン2026）</cp:lastModifiedBy>
  <cp:revision/>
  <dcterms:created xsi:type="dcterms:W3CDTF">2015-06-05T18:19:34Z</dcterms:created>
  <dcterms:modified xsi:type="dcterms:W3CDTF">2026-08-25T03:58:16Z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