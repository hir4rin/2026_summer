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28E29A83-320D-4337-86D4-E1D676F74A39}" xr6:coauthVersionLast="47" xr6:coauthVersionMax="47" xr10:uidLastSave="{00000000-0000-0000-0000-000000000000}"/>
  <bookViews>
    <workbookView xWindow="-28920" yWindow="1695" windowWidth="29040" windowHeight="15720" activeTab="8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<sst xmlns="http://schemas.openxmlformats.org/spreadsheetml/2006/main" count="556" uniqueCount="261">
  <si>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</si>
  <si>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</si>
  <si>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</si>
  <si>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</si>
  <si>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</si>
  <si>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</si>
  <si>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</si>
  <si>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</si>
  <si>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</si>
  <si>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</si>
  <si>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</si>
  <si>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</si>
  <si>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</si>
  <si>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</si>
  <si>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</si>
  <si>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</si>
  <si>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</si>
  <si>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</si>
  <si>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</si>
  <si>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</si>
  <si>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</si>
  <si>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</si>
  <si>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</si>
  <si>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</si>
  <si>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</si>
  <si>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</si>
  <si>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</si>
  <si>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</si>
  <si>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</si>
  <si>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</si>
  <si>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</si>
  <si>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</si>
  <si>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</si>
  <si>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</si>
  <si>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</si>
  <si>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</si>
  <si>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</si>
  <si>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</si>
  <si>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</si>
  <si>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</si>
  <si>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</si>
  <si>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</si>
  <si>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</si>
  <si>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</si>
  <si>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</si>
  <si>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</si>
  <si>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</si>
  <si>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</si>
  <si>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</si>
  <si>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</si>
  <si>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</si>
  <si>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</si>
  <si>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</si>
  <si>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</si>
  <si>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</si>
  <si>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</si>
  <si>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</si>
  <si>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</si>
  <si>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</si>
  <si>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</si>
  <si>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</si>
  <si>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</si>
  <si>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</si>
  <si>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</si>
  <si>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</si>
  <si>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</si>
  <si>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</si>
  <si>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</si>
  <si>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</si>
  <si>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</si>
  <si>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</si>
  <si>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</si>
  <si>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</si>
  <si>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</si>
  <si>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</si>
  <si>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</si>
  <si>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</si>
  <si>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</si>
  <si>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</si>
  <si>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</si>
  <si>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</si>
  <si>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</si>
  <si>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</si>
  <si>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</si>
  <si>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</si>
  <si>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</si>
  <si>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</si>
  <si>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</si>
  <si>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</si>
  <si>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</si>
  <si>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</si>
  <si>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</si>
  <si>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</si>
  <si>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</si>
  <si>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</si>
  <si>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</si>
  <si>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</si>
  <si>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</si>
  <si>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</si>
  <si>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</si>
  <si>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</si>
  <si>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</si>
  <si>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</si>
  <si>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</si>
  <si>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</si>
  <si>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</si>
  <si>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</si>
  <si>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</si>
  <si>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</si>
  <si>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</si>
  <si>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</si>
  <si>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</si>
  <si>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</si>
  <si>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</si>
  <si>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</si>
  <si>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</si>
  <si>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</si>
  <si>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</si>
  <si>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</si>
  <si>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</si>
  <si>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</si>
  <si>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</si>
  <si>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</si>
  <si>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</si>
  <si>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</si>
  <si>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</si>
  <si>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</si>
  <si>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</si>
  <si>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</si>
  <si>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</si>
  <si>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</si>
  <si>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</si>
  <si>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</si>
  <si>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</si>
  <si>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</si>
  <si>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</si>
  <si>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</si>
  <si>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</si>
  <si>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</si>
  <si>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</si>
  <si>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</si>
  <si>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</si>
  <si>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</si>
  <si>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</si>
  <si>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</si>
  <si>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</si>
  <si>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</si>
  <si>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</si>
  <si>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</si>
  <si>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</si>
  <si>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</si>
  <si>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</si>
  <si>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</si>
  <si>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</si>
  <si>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</si>
  <si>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</si>
  <si>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</si>
  <si>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</si>
  <si>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</si>
  <si>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</si>
  <si>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</si>
  <si>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</si>
  <si>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</si>
  <si>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</si>
  <si>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</si>
  <si>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</si>
  <si>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</si>
  <si>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</si>
  <si>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</si>
  <si>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</si>
  <si>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</si>
  <si>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</si>
  <si>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</si>
  <si>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</si>
  <si>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</si>
  <si>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</si>
  <si>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</si>
  <si>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</si>
  <si>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</si>
  <si>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</si>
  <si>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</si>
  <si>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</si>
  <si>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</si>
  <si>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</si>
  <si>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</si>
  <si>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</si>
  <si>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</si>
  <si>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</si>
  <si>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</si>
  <si>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</si>
  <si>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</si>
  <si>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</si>
  <si>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</si>
  <si>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</si>
  <si>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</si>
  <si>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</si>
  <si>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</si>
  <si>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</si>
  <si>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</si>
  <si>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</si>
  <si>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</si>
  <si>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</si>
  <si>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</si>
  <si>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</si>
  <si>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</si>
  <si>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</si>
  <si>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</si>
  <si>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</si>
  <si>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</si>
  <si>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</si>
  <si>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</si>
  <si>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</si>
  <si>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</si>
  <si>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</si>
  <si>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</si>
  <si>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</si>
  <si>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</si>
  <si>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</si>
  <si>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</si>
  <si>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</si>
  <si>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</si>
  <si>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</si>
  <si>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</si>
  <si>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</si>
  <si>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</si>
  <si>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</si>
  <si>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</si>
  <si>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</si>
  <si>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</si>
  <si>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</si>
  <si>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</si>
  <si>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</si>
  <si>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</si>
  <si>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</si>
  <si>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</si>
  <si>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</si>
  <si>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</si>
  <si>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</si>
  <si>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</si>
  <si>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</si>
  <si>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</si>
  <si>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</si>
  <si>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</si>
  <si>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</si>
  <si>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</si>
  <si>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</si>
  <si>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</si>
  <si>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</si>
  <si>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</si>
  <si>
    <t>追いかける</t>
    <rPh sb="0" eb="1">
      <t>オ</t>
    </rPh>
    <phoneticPr fontId="1"/>
  </si>
  <si>
    <t>ばくすて</t>
    <phoneticPr fontId="1"/>
  </si>
  <si>
    <t>攻撃→ばくすて</t>
    <rPh sb="0" eb="2">
      <t>コウゲキ</t>
    </rPh>
    <phoneticPr fontId="1"/>
  </si>
  <si>
    <t>おいかける→攻撃</t>
    <rPh sb="6" eb="8">
      <t>コウゲキ</t>
    </rPh>
    <phoneticPr fontId="1"/>
  </si>
  <si>
    <t>警戒→攻撃or追いかける</t>
    <rPh sb="0" eb="2">
      <t>ケイカイ</t>
    </rPh>
    <rPh sb="3" eb="5">
      <t>コウゲキ</t>
    </rPh>
    <rPh sb="7" eb="8">
      <t>オ</t>
    </rPh>
    <phoneticPr fontId="1"/>
  </si>
  <si>
    <t>攻撃後、硬直あり</t>
    <rPh sb="0" eb="2">
      <t>コウゲキ</t>
    </rPh>
    <rPh sb="2" eb="3">
      <t>ゴ</t>
    </rPh>
    <rPh sb="4" eb="6">
      <t>コウチョク</t>
    </rPh>
    <phoneticPr fontId="1"/>
  </si>
  <si>
    <t>アイドル→</t>
    <phoneticPr fontId="1"/>
  </si>
  <si>
    <t>攻撃、警戒、バクステ、警戒のランダム</t>
    <rPh sb="0" eb="2">
      <t>コウゲキ</t>
    </rPh>
    <rPh sb="3" eb="5">
      <t>ケイカイ</t>
    </rPh>
    <rPh sb="11" eb="13">
      <t>ケイカイ</t>
    </rPh>
    <phoneticPr fontId="1"/>
  </si>
  <si>
    <t>攻撃のノックバックにXZ方面(正面)、Y軸(上方向)の二つを用意、それで切り上げ攻撃、切り下げ攻撃などを対応する</t>
    <rPh sb="0" eb="2">
      <t>コウゲキ</t>
    </rPh>
    <rPh sb="12" eb="14">
      <t>ホウメン</t>
    </rPh>
    <rPh sb="15" eb="17">
      <t>ショウメン</t>
    </rPh>
    <rPh sb="20" eb="21">
      <t>ジク</t>
    </rPh>
    <rPh sb="22" eb="25">
      <t>ウエホウコウ</t>
    </rPh>
    <rPh sb="27" eb="28">
      <t>フタ</t>
    </rPh>
    <rPh sb="30" eb="32">
      <t>ヨウイ</t>
    </rPh>
    <rPh sb="36" eb="37">
      <t>キ</t>
    </rPh>
    <rPh sb="38" eb="39">
      <t>ア</t>
    </rPh>
    <rPh sb="40" eb="42">
      <t>コウゲキ</t>
    </rPh>
    <rPh sb="43" eb="44">
      <t>キ</t>
    </rPh>
    <rPh sb="52" eb="54">
      <t>タイオウ</t>
    </rPh>
    <phoneticPr fontId="1"/>
  </si>
  <si>
    <t>攻撃のデータ</t>
    <rPh sb="0" eb="2">
      <t>コウゲキ</t>
    </rPh>
    <phoneticPr fontId="1"/>
  </si>
  <si>
    <t>攻撃力</t>
    <rPh sb="0" eb="3">
      <t>コウゲキリョク</t>
    </rPh>
    <phoneticPr fontId="1"/>
  </si>
  <si>
    <t>ノックバック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</si>
</sst>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51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417</v>
      </c>
      <c r="D5" s="3">
        <f ca="1" xml:space="preserve"> C4 / C5</f>
        <v>1.4388489208633094E-2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46187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-386</v>
      </c>
      <c r="E10" s="3">
        <f ca="1">($C$3 - $C$4) / D10</f>
        <v>-0.22279792746113988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-366</v>
      </c>
      <c r="E11" s="3">
        <f ca="1">($C$3 - $C$4) / D11</f>
        <v>-0.23497267759562843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-355</v>
      </c>
      <c r="E12" s="3">
        <f ca="1">($C$3 - $C$4) / D12</f>
        <v>-0.24225352112676057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B18" sqref="B18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A1:G22"/>
  <sheetViews>
    <sheetView workbookViewId="0">
      <selection activeCell="F23" sqref="F23"/>
    </sheetView>
  </sheetViews>
  <sheetFormatPr defaultRowHeight="18.75"/>
  <sheetData>
    <row r="1" spans="1:7">
      <c r="A1" s="42"/>
      <c r="B1" s="43"/>
      <c r="C1" s="43"/>
      <c r="D1" s="43"/>
      <c r="E1" s="43"/>
      <c r="F1" s="43"/>
      <c r="G1" s="44"/>
    </row>
    <row r="2" spans="1:7">
      <c r="A2" s="45"/>
      <c r="B2" s="46"/>
      <c r="C2" s="46"/>
      <c r="D2" s="46"/>
      <c r="E2" s="46"/>
      <c r="F2" s="46"/>
      <c r="G2" s="47"/>
    </row>
    <row r="3" spans="1:7">
      <c r="A3" s="45"/>
      <c r="B3" s="46"/>
      <c r="C3" s="46" t="s">
        <v>239</v>
      </c>
      <c r="D3" s="46"/>
      <c r="E3" s="46"/>
      <c r="F3" s="46"/>
      <c r="G3" s="47"/>
    </row>
    <row r="4" spans="1:7">
      <c r="A4" s="45"/>
      <c r="B4" s="46"/>
      <c r="C4" s="46" t="s">
        <v>91</v>
      </c>
      <c r="D4" s="46"/>
      <c r="E4" s="46"/>
      <c r="F4" s="46"/>
      <c r="G4" s="47"/>
    </row>
    <row r="5" spans="1:7">
      <c r="A5" s="45"/>
      <c r="B5" s="46"/>
      <c r="C5" s="46" t="s">
        <v>240</v>
      </c>
      <c r="D5" s="46"/>
      <c r="E5" s="46"/>
      <c r="F5" s="46"/>
      <c r="G5" s="47"/>
    </row>
    <row r="6" spans="1:7">
      <c r="A6" s="45"/>
      <c r="B6" s="46"/>
      <c r="C6" s="46" t="s">
        <v>242</v>
      </c>
      <c r="D6" s="46"/>
      <c r="E6" s="46"/>
      <c r="F6" s="46"/>
      <c r="G6" s="47"/>
    </row>
    <row r="7" spans="1:7">
      <c r="A7" s="45"/>
      <c r="B7" s="46"/>
      <c r="C7" s="46" t="s">
        <v>248</v>
      </c>
      <c r="D7" s="46"/>
      <c r="E7" s="46"/>
      <c r="F7" s="46"/>
      <c r="G7" s="47"/>
    </row>
    <row r="8" spans="1:7">
      <c r="A8" s="45"/>
      <c r="B8" s="46"/>
      <c r="C8" s="46"/>
      <c r="D8" s="46"/>
      <c r="E8" s="46"/>
      <c r="F8" s="46"/>
      <c r="G8" s="47"/>
    </row>
    <row r="9" spans="1:7">
      <c r="A9" s="45"/>
      <c r="B9" s="46" t="s">
        <v>241</v>
      </c>
      <c r="C9" s="46"/>
      <c r="D9" s="46" t="s">
        <v>243</v>
      </c>
      <c r="E9" s="46"/>
      <c r="F9" s="46" t="s">
        <v>246</v>
      </c>
      <c r="G9" s="47"/>
    </row>
    <row r="10" spans="1:7">
      <c r="A10" s="45"/>
      <c r="B10" s="46" t="s">
        <v>91</v>
      </c>
      <c r="C10" s="46"/>
      <c r="D10" s="46" t="s">
        <v>244</v>
      </c>
      <c r="E10" s="46"/>
      <c r="F10" s="46" t="s">
        <v>247</v>
      </c>
      <c r="G10" s="47"/>
    </row>
    <row r="11" spans="1:7">
      <c r="A11" s="45"/>
      <c r="B11" s="46" t="s">
        <v>240</v>
      </c>
      <c r="C11" s="46"/>
      <c r="D11" s="46" t="s">
        <v>245</v>
      </c>
      <c r="E11" s="46"/>
      <c r="F11" s="46" t="s">
        <v>85</v>
      </c>
      <c r="G11" s="47"/>
    </row>
    <row r="12" spans="1:7">
      <c r="A12" s="45"/>
      <c r="B12" s="46" t="s">
        <v>242</v>
      </c>
      <c r="C12" s="46"/>
      <c r="D12" s="46" t="s">
        <v>242</v>
      </c>
      <c r="E12" s="46"/>
      <c r="F12" s="46" t="s">
        <v>242</v>
      </c>
      <c r="G12" s="47"/>
    </row>
    <row r="13" spans="1:7">
      <c r="A13" s="45"/>
      <c r="B13" s="46" t="s">
        <v>248</v>
      </c>
      <c r="C13" s="46"/>
      <c r="D13" s="46" t="s">
        <v>240</v>
      </c>
      <c r="E13" s="46"/>
      <c r="F13" s="46" t="s">
        <v>240</v>
      </c>
      <c r="G13" s="47"/>
    </row>
    <row r="14" spans="1:7" ht="19.5" thickBot="1">
      <c r="A14" s="48"/>
      <c r="B14" s="49"/>
      <c r="C14" s="49"/>
      <c r="D14" s="49" t="s">
        <v>248</v>
      </c>
      <c r="E14" s="49"/>
      <c r="F14" s="49" t="s">
        <v>248</v>
      </c>
      <c r="G14" s="50"/>
    </row>
    <row r="17" spans="2:6">
      <c r="B17" t="s">
        <v>249</v>
      </c>
      <c r="D17" t="s">
        <v>252</v>
      </c>
    </row>
    <row r="18" spans="2:6">
      <c r="B18" t="s">
        <v>102</v>
      </c>
      <c r="D18" t="s">
        <v>251</v>
      </c>
    </row>
    <row r="19" spans="2:6">
      <c r="B19" t="s">
        <v>91</v>
      </c>
      <c r="D19" t="s">
        <v>253</v>
      </c>
    </row>
    <row r="20" spans="2:6">
      <c r="B20" t="s">
        <v>250</v>
      </c>
      <c r="D20" t="s">
        <v>254</v>
      </c>
    </row>
    <row r="21" spans="2:6">
      <c r="B21" t="s">
        <v>146</v>
      </c>
    </row>
    <row r="22" spans="2:6">
      <c r="D22" t="s">
        <v>255</v>
      </c>
      <c r="F22" t="s">
        <v>256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22"/>
  <sheetViews>
    <sheetView workbookViewId="0">
      <selection activeCell="F6" sqref="F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2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2:37">
      <c r="M18" t="s">
        <v>173</v>
      </c>
      <c r="AF18" t="s">
        <v>202</v>
      </c>
    </row>
    <row r="19" spans="2:37">
      <c r="B19" t="s">
        <v>162</v>
      </c>
      <c r="D19" t="s">
        <v>160</v>
      </c>
      <c r="M19" t="s">
        <v>174</v>
      </c>
      <c r="AF19" t="s">
        <v>204</v>
      </c>
    </row>
    <row r="20" spans="2:37">
      <c r="AF20" t="s">
        <v>193</v>
      </c>
    </row>
    <row r="21" spans="2:37">
      <c r="B21" t="s">
        <v>161</v>
      </c>
      <c r="D21" t="s">
        <v>160</v>
      </c>
    </row>
    <row r="22" spans="2:37">
      <c r="M22" t="s">
        <v>197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1:AG9"/>
  <sheetViews>
    <sheetView tabSelected="1" workbookViewId="0">
      <selection activeCell="AI3" sqref="AI3"/>
    </sheetView>
  </sheetViews>
  <sheetFormatPr defaultColWidth="4.125" defaultRowHeight="18.75"/>
  <sheetData>
    <row r="1" spans="3:33" ht="19.5" thickBot="1"/>
    <row r="2" spans="3:33">
      <c r="C2" t="s">
        <v>168</v>
      </c>
      <c r="AE2" s="42" t="s">
        <v>258</v>
      </c>
      <c r="AF2" s="43"/>
      <c r="AG2" s="44"/>
    </row>
    <row r="3" spans="3:33">
      <c r="AE3" s="45" t="s">
        <v>259</v>
      </c>
      <c r="AF3" s="46"/>
      <c r="AG3" s="47"/>
    </row>
    <row r="4" spans="3:33" ht="19.5" thickBot="1">
      <c r="AE4" s="48" t="s">
        <v>260</v>
      </c>
      <c r="AF4" s="49"/>
      <c r="AG4" s="50"/>
    </row>
    <row r="9" spans="3:33">
      <c r="AE9" t="s">
        <v>257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2026-06-14T13:52:55Z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