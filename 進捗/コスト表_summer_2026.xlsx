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71C8D315-BCC2-42BF-8078-C7B71D0DDC30}" xr6:coauthVersionLast="47" xr6:coauthVersionMax="47" xr10:uidLastSave="{00000000-0000-0000-0000-000000000000}"/>
  <bookViews>
    <workbookView xWindow="7320" yWindow="3285" windowWidth="24000" windowHeight="15165"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<sst xmlns="http://schemas.openxmlformats.org/spreadsheetml/2006/main" count="590" uniqueCount="294">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</sst>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425</v>
      </c>
      <c r="D5" s="3">
        <f ca="1" xml:space="preserve"> C4 / C5</f>
        <v>1.411764705882353E-2</v>
      </c>
    </row>
    <row r="6" spans="2:5">
      <c r="B6" s="7" t="s">
        <v>9</v>
      </c>
      <c r="C6" s="1">
        <f>DATE(2024,11,7)</f>
        <v>45603</v>
      </c>
    </row>
    <row r="7" spans="2:5">
      <c r="B7" s="8" t="s">
        <v>11</v>
      </c>
      <c r="C7" s="1">
        <f ca="1">TODAY()</f>
        <v>46197</v>
      </c>
    </row>
    <row r="9" spans="2:5">
      <c r="D9" t="s">
        <v>12</v>
      </c>
      <c r="E9" t="s">
        <v>13</v>
      </c>
    </row>
    <row r="10" spans="2:5">
      <c r="B10" s="4" t="s">
        <v>15</v>
      </c>
      <c r="C10" s="1">
        <f>DATE(2024,12,20)</f>
        <v>45646</v>
      </c>
      <c r="D10" s="2">
        <f ca="1">NETWORKDAYS(TODAY(),C10)</f>
        <v>-394</v>
      </c>
      <c r="E10" s="3">
        <f ca="1">($C$3 - $C$4) / D10</f>
        <v>-0.21827411167512689</v>
      </c>
    </row>
    <row r="11" spans="2:5">
      <c r="B11" s="9" t="s">
        <v>16</v>
      </c>
      <c r="C11" s="1">
        <f>DATE(2025,1,17)</f>
        <v>45674</v>
      </c>
      <c r="D11" s="2">
        <f ca="1">NETWORKDAYS(TODAY(),C11)</f>
        <v>-374</v>
      </c>
      <c r="E11" s="3">
        <f ca="1">($C$3 - $C$4) / D11</f>
        <v>-0.22994652406417113</v>
      </c>
    </row>
    <row r="12" spans="2:5">
      <c r="B12" s="6" t="s">
        <v>17</v>
      </c>
      <c r="C12" s="1">
        <f>DATE(2025,2,3)</f>
        <v>45691</v>
      </c>
      <c r="D12" s="2">
        <f ca="1">NETWORKDAYS(TODAY(),C12)</f>
        <v>-363</v>
      </c>
      <c r="E12" s="3">
        <f ca="1">($C$3 - $C$4) / D12</f>
        <v>-0.23691460055096419</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26"/>
  <sheetViews>
    <sheetView tabSelected="1" workbookViewId="0">
      <selection activeCell="C27" sqref="C27"/>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274</v>
      </c>
    </row>
    <row r="8" spans="1:3">
      <c r="A8" s="1">
        <v>46191</v>
      </c>
      <c r="C8" t="s">
        <v>275</v>
      </c>
    </row>
    <row r="9" spans="1:3">
      <c r="A9" s="1">
        <v>46192</v>
      </c>
      <c r="C9" t="s">
        <v>276</v>
      </c>
    </row>
    <row r="10" spans="1:3">
      <c r="C10" t="s">
        <v>277</v>
      </c>
    </row>
    <row r="11" spans="1:3">
      <c r="C11" t="s">
        <v>278</v>
      </c>
    </row>
    <row r="12" spans="1:3">
      <c r="A12" s="1">
        <v>46193</v>
      </c>
      <c r="C12" t="s">
        <v>279</v>
      </c>
    </row>
    <row r="13" spans="1:3">
      <c r="C13" t="s">
        <v>280</v>
      </c>
    </row>
    <row r="14" spans="1:3">
      <c r="A14" s="1">
        <v>46194</v>
      </c>
      <c r="C14" t="s">
        <v>281</v>
      </c>
    </row>
    <row r="15" spans="1:3">
      <c r="C15" t="s">
        <v>282</v>
      </c>
    </row>
    <row r="16" spans="1:3">
      <c r="C16" t="s">
        <v>283</v>
      </c>
    </row>
    <row r="17" spans="1:3">
      <c r="A17" s="1">
        <v>46195</v>
      </c>
      <c r="C17" t="s">
        <v>284</v>
      </c>
    </row>
    <row r="18" spans="1:3">
      <c r="C18" t="s">
        <v>285</v>
      </c>
    </row>
    <row r="19" spans="1:3">
      <c r="C19" t="s">
        <v>286</v>
      </c>
    </row>
    <row r="20" spans="1:3">
      <c r="C20" t="s">
        <v>287</v>
      </c>
    </row>
    <row r="21" spans="1:3">
      <c r="C21" t="s">
        <v>288</v>
      </c>
    </row>
    <row r="22" spans="1:3">
      <c r="C22" t="s">
        <v>290</v>
      </c>
    </row>
    <row r="23" spans="1:3">
      <c r="C23" t="s">
        <v>289</v>
      </c>
    </row>
    <row r="24" spans="1:3">
      <c r="A24" s="1">
        <v>46196</v>
      </c>
      <c r="C24" t="s">
        <v>291</v>
      </c>
    </row>
    <row r="25" spans="1:3">
      <c r="C25" t="s">
        <v>292</v>
      </c>
    </row>
    <row r="26" spans="1:3">
      <c r="C26" t="s">
        <v>293</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261</v>
      </c>
    </row>
    <row r="19" spans="2:4">
      <c r="B19" t="s">
        <v>262</v>
      </c>
    </row>
    <row r="20" spans="2:4">
      <c r="B20" t="s">
        <v>190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269</v>
      </c>
    </row>
    <row r="28" spans="1:37">
      <c r="A28" t="s">
        <v>270</v>
      </c>
    </row>
    <row r="38" spans="1:15">
      <c r="A38" t="s">
        <v>177</v>
      </c>
    </row>
    <row r="41" spans="1:15">
      <c r="A41" t="s">
        <v>272</v>
      </c>
    </row>
    <row r="42" spans="1:15">
      <c r="A42" t="s">
        <v>273</v>
      </c>
    </row>
    <row r="43" spans="1:15">
      <c r="O43" t="s">
        <v>271</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265</v>
      </c>
      <c r="AF5" s="48"/>
      <c r="AG5" s="48"/>
      <c r="AH5" s="48"/>
      <c r="AI5" s="49"/>
    </row>
    <row r="9" spans="3:35">
      <c r="AE9" t="s">
        <v>257</v>
      </c>
    </row>
    <row r="31" spans="34:47">
      <c r="AN31" t="s">
        <v>263</v>
      </c>
      <c r="AU31" t="s">
        <v>268</v>
      </c>
    </row>
    <row r="32" spans="34:47">
      <c r="AH32" t="s">
        <v>267</v>
      </c>
      <c r="AN32" t="s">
        <v>264</v>
      </c>
    </row>
    <row r="33" spans="40:40">
      <c r="AN33" t="s">
        <v>266</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2026-06-23T15:30:05Z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