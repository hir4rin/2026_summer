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23D01A12-D2BD-46EB-B122-52FEEB67AA86}" xr6:coauthVersionLast="47" xr6:coauthVersionMax="47" xr10:uidLastSave="{00000000-0000-0000-0000-000000000000}"/>
  <bookViews>
    <workbookView xWindow="0" yWindow="360" windowWidth="38640" windowHeight="21120" firstSheet="1" activeTab="4"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<sst xmlns="http://schemas.openxmlformats.org/spreadsheetml/2006/main" count="545" uniqueCount="328">
  <si>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</si>
  <si>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</si>
  <si>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</si>
  <si>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</si>
  <si>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</si>
  <si>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</si>
  <si>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</si>
  <si>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</si>
  <si>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</si>
  <si>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</si>
  <si>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</si>
  <si>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</si>
  <si>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</si>
  <si>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</si>
  <si>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</si>
  <si>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</si>
  <si>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</si>
  <si>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</si>
  <si>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</si>
  <si>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</si>
  <si>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</si>
  <si>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</si>
  <si>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</si>
  <si>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</si>
  <si>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</si>
  <si>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</si>
  <si>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</si>
  <si>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</si>
  <si>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</si>
  <si>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</si>
  <si>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</si>
  <si>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</si>
  <si>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</si>
  <si>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</si>
  <si>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</si>
  <si>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</si>
  <si>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</si>
  <si>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</si>
  <si>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</si>
  <si>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</si>
  <si>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</si>
  <si>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</si>
  <si>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</si>
  <si>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</si>
  <si>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</si>
  <si>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</si>
  <si>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</si>
  <si>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</si>
  <si>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</si>
  <si>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</si>
  <si>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</si>
  <si>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</si>
  <si>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</si>
  <si>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</si>
  <si>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</si>
  <si>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</si>
  <si>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</si>
  <si>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</si>
  <si>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</si>
  <si>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</si>
  <si>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</si>
  <si>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</si>
  <si>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</si>
  <si>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</si>
  <si>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</si>
  <si>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</si>
  <si>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</si>
  <si>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</si>
  <si>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</si>
  <si>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</si>
  <si>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</si>
  <si>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</si>
  <si>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</si>
  <si>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</si>
  <si>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</si>
  <si>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</si>
  <si>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</si>
  <si>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</si>
  <si>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</si>
  <si>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</si>
  <si>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</si>
  <si>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</si>
  <si>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</si>
  <si>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</si>
  <si>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</si>
  <si>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</si>
  <si>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</si>
  <si>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</si>
  <si>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</si>
  <si>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</si>
  <si>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</si>
  <si>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</si>
  <si>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</si>
  <si>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</si>
  <si>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</si>
  <si>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</si>
  <si>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</si>
  <si>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</si>
  <si>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</si>
  <si>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</si>
  <si>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</si>
  <si>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</si>
  <si>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</si>
  <si>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</si>
  <si>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</si>
  <si>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</si>
  <si>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</si>
  <si>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</si>
  <si>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</si>
  <si>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</si>
  <si>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</si>
  <si>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</si>
  <si>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</si>
  <si>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</si>
  <si>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</si>
  <si>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</si>
  <si>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</si>
  <si>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</si>
  <si>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</si>
  <si>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</si>
  <si>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</si>
  <si>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</si>
  <si>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</si>
  <si>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</si>
  <si>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</si>
  <si>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</si>
  <si>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</si>
  <si>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</si>
  <si>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</si>
  <si>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</si>
  <si>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</si>
  <si>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</si>
  <si>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</si>
  <si>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</si>
  <si>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</si>
  <si>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</si>
  <si>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</si>
  <si>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</si>
  <si>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</si>
  <si>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</si>
  <si>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</si>
  <si>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</si>
  <si>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</si>
  <si>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</si>
  <si>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</si>
  <si>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</si>
  <si>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</si>
  <si>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</si>
  <si>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</si>
  <si>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</si>
  <si>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</si>
  <si>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</si>
  <si>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</si>
  <si>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</si>
  <si>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</si>
  <si>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</si>
  <si>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</si>
  <si>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</si>
  <si>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</si>
  <si>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</si>
  <si>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</si>
  <si>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</si>
  <si>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</si>
  <si>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</si>
  <si>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</si>
  <si>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</si>
  <si>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</si>
  <si>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</si>
  <si>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</si>
  <si>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</si>
  <si>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</si>
  <si>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</si>
  <si>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</si>
  <si>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</si>
  <si>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</si>
  <si>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</si>
  <si>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</si>
  <si>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</si>
  <si>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</si>
  <si>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</si>
  <si>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</si>
  <si>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</si>
  <si>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</si>
  <si>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</si>
  <si>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</si>
  <si>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</si>
  <si>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</si>
  <si>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</si>
  <si>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</si>
  <si>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</si>
  <si>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</si>
  <si>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</si>
  <si>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</si>
  <si>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</si>
  <si>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</si>
  <si>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</si>
  <si>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</si>
  <si>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</si>
  <si>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</si>
  <si>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</si>
  <si>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</si>
  <si>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</si>
  <si>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</si>
  <si>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</si>
  <si>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</si>
  <si>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</si>
  <si>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</si>
  <si>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</si>
  <si>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</si>
  <si>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</si>
  <si>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</si>
  <si>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</si>
  <si>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</si>
  <si>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</si>
  <si>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</si>
  <si>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</si>
  <si>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</si>
  <si>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</si>
  <si>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</si>
  <si>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</si>
  <si>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</si>
  <si>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</si>
  <si>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</si>
  <si>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</si>
  <si>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</si>
  <si>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</si>
  <si>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</si>
  <si>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</si>
  <si>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</si>
  <si>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</si>
  <si>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</si>
  <si>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</si>
  <si>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</si>
  <si>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</si>
  <si>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</si>
  <si>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</si>
  <si>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</si>
  <si>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</si>
  <si>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</si>
  <si>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</si>
  <si>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</si>
  <si>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</si>
  <si>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</si>
  <si>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</si>
  <si>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</si>
  <si>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</si>
  <si>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</si>
  <si>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</si>
  <si>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</si>
  <si>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</si>
  <si>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</si>
  <si>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</si>
  <si>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</si>
  <si>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</si>
  <si>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</si>
  <si>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</si>
  <si>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</si>
  <si>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</si>
  <si>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</si>
  <si>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</si>
  <si>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</si>
  <si>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</si>
  <si>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</si>
  <si>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</si>
  <si>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</si>
  <si>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</si>
  <si>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</si>
  <si>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</si>
  <si>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</si>
  <si>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</si>
  <si>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</si>
  <si>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</si>
  <si>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</si>
  <si>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</si>
  <si>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</si>
  <si>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</si>
  <si>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</si>
  <si>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</si>
  <si>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</si>
  <si>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</si>
  <si>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</si>
  <si>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</si>
  <si>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</si>
  <si>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</si>
  <si>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</si>
  <si>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</si>
  <si>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</si>
  <si>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</si>
  <si>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</si>
  <si>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</si>
  <si>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</si>
  <si>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</si>
  <si>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</si>
  <si>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</si>
  <si>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</si>
  <si>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</si>
  <si>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</si>
  <si>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</si>
  <si>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</si>
  <si>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</si>
  <si>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</si>
  <si>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</si>
  <si>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</si>
  <si>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</si>
  <si>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</si>
  <si>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</si>
  <si>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</si>
  <si>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</si>
  <si>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</si>
  <si>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</si>
  <si>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</si>
  <si>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</si>
  <si>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</si>
  <si>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</si>
  <si>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</si>
  <si>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</si>
  <si>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</si>
  <si>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</si>
  <si>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</si>
  <si>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</si>
  <si>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ロックオンはプレイヤーから一番近い敵をロックオン</t>
    <rPh sb="13" eb="16">
      <t>イチバンチカ</t>
    </rPh>
    <rPh sb="17" eb="18">
      <t>テキ</t>
    </rPh>
    <phoneticPr fontId="1"/>
  </si>
  <si>
    <t>ロックオンした敵の方向にプレイヤーは攻撃する</t>
    <rPh sb="7" eb="8">
      <t>テキ</t>
    </rPh>
    <rPh sb="9" eb="11">
      <t>ホウコウ</t>
    </rPh>
    <rPh sb="18" eb="20">
      <t>コウゲキ</t>
    </rPh>
    <phoneticPr fontId="1"/>
  </si>
  <si>
    <t>また、普通の攻撃した時も内部的にはロックオンし、別の入力があった場合は、切り替える</t>
    <rPh sb="3" eb="5">
      <t>フツウ</t>
    </rPh>
    <rPh sb="6" eb="8">
      <t>コウゲキ</t>
    </rPh>
    <rPh sb="10" eb="11">
      <t>トキ</t>
    </rPh>
    <rPh sb="12" eb="15">
      <t>ナイブテキ</t>
    </rPh>
    <rPh sb="24" eb="25">
      <t>ベツ</t>
    </rPh>
    <rPh sb="26" eb="28">
      <t>ニュウリョク</t>
    </rPh>
    <rPh sb="32" eb="34">
      <t>バアイ</t>
    </rPh>
    <rPh sb="36" eb="37">
      <t>キ</t>
    </rPh>
    <rPh sb="38" eb="39">
      <t>カ</t>
    </rPh>
    <phoneticPr fontId="1"/>
  </si>
  <si>
    <t>ロックオンした時はプレイヤーと敵の中間点をカメラは見続ける</t>
    <rPh sb="7" eb="8">
      <t>トキ</t>
    </rPh>
    <rPh sb="15" eb="16">
      <t>テキ</t>
    </rPh>
    <rPh sb="17" eb="20">
      <t>チュウカンテン</t>
    </rPh>
    <rPh sb="25" eb="27">
      <t>ミツヅ</t>
    </rPh>
    <phoneticPr fontId="1"/>
  </si>
  <si>
    <t>カメラの方向とかプレイヤーの方向とかもいろいろありそう</t>
    <rPh sb="4" eb="6">
      <t>ホウコウ</t>
    </rPh>
    <rPh sb="14" eb="16">
      <t>ホウコウ</t>
    </rPh>
    <phoneticPr fontId="1"/>
  </si>
  <si>
    <t>案2</t>
    <rPh sb="0" eb="1">
      <t>アン</t>
    </rPh>
    <phoneticPr fontId="1"/>
  </si>
  <si>
    <t>rayvecとenemyVecの角度を取り、その角度差が小さいところを取る（範囲指定して奥行ってしまうバグをなくす）</t>
    <rPh sb="16" eb="18">
      <t>カクド</t>
    </rPh>
    <rPh sb="19" eb="20">
      <t>ト</t>
    </rPh>
    <rPh sb="24" eb="26">
      <t>カクド</t>
    </rPh>
    <rPh sb="26" eb="27">
      <t>サ</t>
    </rPh>
    <rPh sb="28" eb="29">
      <t>チイ</t>
    </rPh>
    <rPh sb="35" eb="36">
      <t>ト</t>
    </rPh>
    <rPh sb="38" eb="42">
      <t>ハンイシテイ</t>
    </rPh>
    <rPh sb="44" eb="45">
      <t>オク</t>
    </rPh>
    <rPh sb="45" eb="46">
      <t>イ</t>
    </rPh>
    <phoneticPr fontId="1"/>
  </si>
  <si>
    <t>カメラをしている</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</si>
</sst>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8">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0" tint="-0.34998626667073579"/>
        <bgColor indexed="64"/>
      </patternFill>
    </fill>
    <fill>
      <patternFill patternType="solid">
        <fgColor theme="4" tint="0.59999389629810485"/>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3">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0" fontId="0" fillId="27" borderId="2" xfId="0" applyFill="1" applyBorder="1"/>
    <xf numFmtId="14" fontId="0" fillId="10" borderId="2" xfId="0" applyNumberFormat="1" applyFill="1" applyBorder="1"/>
    <xf numFmtId="56" fontId="0" fillId="10" borderId="2" xfId="0" applyNumberFormat="1" applyFill="1"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SUM(作業工数見積もり!E3:E71)</f>
        <v>182</v>
      </c>
    </row>
    <row r="4" spans="2:5">
      <c r="B4" s="5" t="s">
        <v>6</v>
      </c>
      <c r="C4">
        <f>SUMIF(作業工数見積もり!G3:G20,"完了",作業工数見積もり!E3:E20)</f>
        <v>2</v>
      </c>
      <c r="D4" t="s">
        <v>7</v>
      </c>
    </row>
    <row r="5" spans="2:5">
      <c r="B5" s="6" t="s">
        <v>8</v>
      </c>
      <c r="C5" s="2">
        <f ca="1">NETWORKDAYS(C6,C7)</f>
        <v>431</v>
      </c>
      <c r="D5" s="3">
        <f ca="1" xml:space="preserve"> C4 / C5</f>
        <v>4.6403712296983757E-3</v>
      </c>
    </row>
    <row r="6" spans="2:5">
      <c r="B6" s="7" t="s">
        <v>9</v>
      </c>
      <c r="C6" s="1">
        <f>DATE(2024,11,7)</f>
        <v>45603</v>
      </c>
    </row>
    <row r="7" spans="2:5">
      <c r="B7" s="8" t="s">
        <v>11</v>
      </c>
      <c r="C7" s="1">
        <f ca="1">TODAY()</f>
        <v>46205</v>
      </c>
    </row>
    <row r="9" spans="2:5">
      <c r="D9" t="s">
        <v>12</v>
      </c>
      <c r="E9" t="s">
        <v>13</v>
      </c>
    </row>
    <row r="10" spans="2:5">
      <c r="B10" s="4" t="s">
        <v>15</v>
      </c>
      <c r="C10" s="1">
        <f>DATE(2024,12,20)</f>
        <v>45646</v>
      </c>
      <c r="D10" s="2">
        <f ca="1">NETWORKDAYS(TODAY(),C10)</f>
        <v>-400</v>
      </c>
      <c r="E10" s="3">
        <f ca="1">($C$3 - $C$4) / D10</f>
        <v>-0.45</v>
      </c>
    </row>
    <row r="11" spans="2:5">
      <c r="B11" s="9" t="s">
        <v>16</v>
      </c>
      <c r="C11" s="1">
        <f>DATE(2025,1,17)</f>
        <v>45674</v>
      </c>
      <c r="D11" s="2">
        <f ca="1">NETWORKDAYS(TODAY(),C11)</f>
        <v>-380</v>
      </c>
      <c r="E11" s="3">
        <f ca="1">($C$3 - $C$4) / D11</f>
        <v>-0.47368421052631576</v>
      </c>
    </row>
    <row r="12" spans="2:5">
      <c r="B12" s="6" t="s">
        <v>17</v>
      </c>
      <c r="C12" s="1">
        <f>DATE(2025,2,3)</f>
        <v>45691</v>
      </c>
      <c r="D12" s="2">
        <f ca="1">NETWORKDAYS(TODAY(),C12)</f>
        <v>-369</v>
      </c>
      <c r="E12" s="3">
        <f ca="1">($C$3 - $C$4) / D12</f>
        <v>-0.48780487804878048</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2"/>
  <sheetViews>
    <sheetView zoomScale="85" zoomScaleNormal="85" workbookViewId="0">
      <selection activeCell="F7" sqref="F7"/>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3" width="9" style="10"/>
    <col min="14" max="14" width="9.62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c r="A3" s="17" t="s">
        <v>35</v>
      </c>
      <c r="B3" s="10" t="s">
        <v>47</v>
      </c>
      <c r="C3" s="16" t="s">
        <v>5</v>
      </c>
      <c r="D3" s="16" t="s">
        <v>18</v>
      </c>
      <c r="E3" s="16">
        <v>0</v>
      </c>
      <c r="G3" s="16" t="s">
        <v>39</v>
      </c>
      <c r="I3" s="25" t="s">
        <v>61</v>
      </c>
      <c r="J3" s="10">
        <f>SUM(J4,J5,J6)</f>
        <v>182</v>
      </c>
      <c r="K3" s="10">
        <f>SUMIFS(E3:E50,G3:G50,"未着手")</f>
        <v>149</v>
      </c>
      <c r="L3" s="10">
        <f>SUM(F3:F38)</f>
        <v>5</v>
      </c>
      <c r="M3" s="10">
        <f ca="1">INT(J11 - TODAY())</f>
        <v>60</v>
      </c>
      <c r="N3" s="10">
        <f ca="1">K3/M3</f>
        <v>2.4833333333333334</v>
      </c>
    </row>
    <row r="4" spans="1:14">
      <c r="A4" s="17" t="s">
        <v>35</v>
      </c>
      <c r="B4" s="10" t="s">
        <v>48</v>
      </c>
      <c r="C4" s="16" t="s">
        <v>14</v>
      </c>
      <c r="D4" s="16" t="s">
        <v>10</v>
      </c>
      <c r="E4" s="16">
        <v>0</v>
      </c>
      <c r="G4" s="16" t="s">
        <v>39</v>
      </c>
      <c r="I4" s="26" t="s">
        <v>28</v>
      </c>
      <c r="J4" s="29">
        <f>SUMIF(D3:D50,I4,E3:E50)</f>
        <v>107</v>
      </c>
      <c r="K4" s="10">
        <f>SUMIFS(E3:E50,G3:G50,"未着手",D3:D50,I4)</f>
        <v>74</v>
      </c>
      <c r="L4" s="10">
        <f>SUMIFS(F3:F38,D3:D38,I4)</f>
        <v>5</v>
      </c>
      <c r="M4" s="10">
        <f ca="1">INT(J12-TODAY())</f>
        <v>15</v>
      </c>
      <c r="N4" s="10">
        <f ca="1">J4/M4</f>
        <v>7.1333333333333337</v>
      </c>
    </row>
    <row r="5" spans="1:14">
      <c r="A5" s="17" t="s">
        <v>35</v>
      </c>
      <c r="B5" s="10" t="s">
        <v>49</v>
      </c>
      <c r="C5" s="16" t="s">
        <v>14</v>
      </c>
      <c r="D5" s="16" t="s">
        <v>10</v>
      </c>
      <c r="E5" s="16">
        <v>0</v>
      </c>
      <c r="G5" s="16" t="s">
        <v>39</v>
      </c>
      <c r="I5" s="27" t="s">
        <v>0</v>
      </c>
      <c r="J5" s="29">
        <f>SUMIF(D3:D50,I5,E3:E50)</f>
        <v>59</v>
      </c>
      <c r="K5" s="10">
        <f>SUMIFS(E3:E50,G3:G50,"未着手",D3:D50,I5)</f>
        <v>59</v>
      </c>
      <c r="L5" s="10">
        <f>SUMIFS(F4:F42,D4:D42,I5)</f>
        <v>0</v>
      </c>
      <c r="M5" s="10">
        <f t="shared" ref="M5:M6" ca="1" si="0">INT(J13-TODAY())</f>
        <v>39</v>
      </c>
      <c r="N5" s="10">
        <f t="shared" ref="N5:N6" ca="1" si="1">J5/M5</f>
        <v>1.5128205128205128</v>
      </c>
    </row>
    <row r="6" spans="1:14">
      <c r="A6" s="17" t="s">
        <v>35</v>
      </c>
      <c r="B6" s="10" t="s">
        <v>36</v>
      </c>
      <c r="C6" s="16" t="s">
        <v>14</v>
      </c>
      <c r="D6" s="16" t="s">
        <v>10</v>
      </c>
      <c r="E6" s="16">
        <v>0</v>
      </c>
      <c r="G6" s="16" t="s">
        <v>39</v>
      </c>
      <c r="I6" s="28" t="s">
        <v>29</v>
      </c>
      <c r="J6" s="29">
        <f>SUMIF(D3:D50,I6,E3:E50)</f>
        <v>16</v>
      </c>
      <c r="K6" s="10">
        <f>SUMIFS(E3:E50,G3:G50,"未着手",D3:D50,I6)</f>
        <v>16</v>
      </c>
      <c r="L6" s="10">
        <f>SUMIFS(F5:F42,D5:D42,I6)</f>
        <v>0</v>
      </c>
      <c r="M6" s="10">
        <f t="shared" ca="1" si="0"/>
        <v>56</v>
      </c>
      <c r="N6" s="10">
        <f t="shared" ca="1" si="1"/>
        <v>0.2857142857142857</v>
      </c>
    </row>
    <row r="7" spans="1:14">
      <c r="A7" s="18" t="s">
        <v>37</v>
      </c>
      <c r="B7" s="10" t="s">
        <v>70</v>
      </c>
      <c r="C7" s="16" t="s">
        <v>5</v>
      </c>
      <c r="D7" s="16" t="s">
        <v>18</v>
      </c>
      <c r="E7" s="16">
        <v>3</v>
      </c>
      <c r="G7" s="16" t="s">
        <v>306</v>
      </c>
    </row>
    <row r="8" spans="1:14" outlineLevel="1">
      <c r="A8" s="19" t="s">
        <v>44</v>
      </c>
      <c r="B8" s="10" t="s">
        <v>250</v>
      </c>
      <c r="C8" s="16" t="s">
        <v>5</v>
      </c>
      <c r="D8" s="16" t="s">
        <v>18</v>
      </c>
      <c r="E8" s="16">
        <v>6</v>
      </c>
      <c r="G8" s="16" t="s">
        <v>306</v>
      </c>
    </row>
    <row r="9" spans="1:14" outlineLevel="1">
      <c r="A9" s="19" t="s">
        <v>44</v>
      </c>
      <c r="B9" s="10" t="s">
        <v>251</v>
      </c>
      <c r="C9" s="16" t="s">
        <v>5</v>
      </c>
      <c r="D9" s="16" t="s">
        <v>18</v>
      </c>
      <c r="E9" s="16">
        <v>2</v>
      </c>
      <c r="G9" s="16" t="s">
        <v>39</v>
      </c>
    </row>
    <row r="10" spans="1:14" outlineLevel="1">
      <c r="A10" s="19" t="s">
        <v>44</v>
      </c>
      <c r="B10" s="10" t="s">
        <v>252</v>
      </c>
      <c r="C10" s="16" t="s">
        <v>5</v>
      </c>
      <c r="D10" s="16" t="s">
        <v>18</v>
      </c>
      <c r="E10" s="16">
        <v>12</v>
      </c>
      <c r="G10" s="16" t="s">
        <v>306</v>
      </c>
      <c r="I10" s="19" t="s">
        <v>294</v>
      </c>
    </row>
    <row r="11" spans="1:14" outlineLevel="1">
      <c r="A11" s="19" t="s">
        <v>44</v>
      </c>
      <c r="B11" s="10" t="s">
        <v>253</v>
      </c>
      <c r="C11" s="16" t="s">
        <v>257</v>
      </c>
      <c r="D11" s="16" t="s">
        <v>18</v>
      </c>
      <c r="E11" s="16">
        <v>2</v>
      </c>
      <c r="G11" s="16" t="s">
        <v>39</v>
      </c>
      <c r="I11" s="10" t="s">
        <v>295</v>
      </c>
      <c r="J11" s="51">
        <v>46265</v>
      </c>
    </row>
    <row r="12" spans="1:14">
      <c r="A12" s="19" t="s">
        <v>44</v>
      </c>
      <c r="B12" s="10" t="s">
        <v>254</v>
      </c>
      <c r="C12" s="16" t="s">
        <v>257</v>
      </c>
      <c r="D12" s="16" t="s">
        <v>18</v>
      </c>
      <c r="E12" s="16">
        <v>12</v>
      </c>
      <c r="G12" s="16" t="s">
        <v>39</v>
      </c>
      <c r="I12" s="10" t="s">
        <v>296</v>
      </c>
      <c r="J12" s="52">
        <v>46220</v>
      </c>
    </row>
    <row r="13" spans="1:14">
      <c r="A13" s="19" t="s">
        <v>44</v>
      </c>
      <c r="B13" s="10" t="s">
        <v>255</v>
      </c>
      <c r="C13" s="16" t="s">
        <v>5</v>
      </c>
      <c r="D13" s="16" t="s">
        <v>18</v>
      </c>
      <c r="E13" s="16">
        <v>1</v>
      </c>
      <c r="G13" s="16" t="s">
        <v>39</v>
      </c>
      <c r="I13" s="10" t="s">
        <v>297</v>
      </c>
      <c r="J13" s="52">
        <v>46244</v>
      </c>
    </row>
    <row r="14" spans="1:14">
      <c r="A14" s="19" t="s">
        <v>44</v>
      </c>
      <c r="B14" s="10" t="s">
        <v>258</v>
      </c>
      <c r="C14" s="16" t="s">
        <v>5</v>
      </c>
      <c r="D14" s="16" t="s">
        <v>18</v>
      </c>
      <c r="E14" s="16">
        <v>2</v>
      </c>
      <c r="G14" s="16" t="s">
        <v>306</v>
      </c>
      <c r="I14" s="10" t="s">
        <v>298</v>
      </c>
      <c r="J14" s="52">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c r="A17" s="19" t="s">
        <v>44</v>
      </c>
      <c r="B17" s="10" t="s">
        <v>307</v>
      </c>
      <c r="C17" s="16" t="s">
        <v>5</v>
      </c>
      <c r="D17" s="16" t="s">
        <v>18</v>
      </c>
      <c r="E17" s="16">
        <v>2</v>
      </c>
      <c r="G17" s="16" t="s">
        <v>39</v>
      </c>
    </row>
    <row r="18" spans="1:7">
      <c r="A18" s="19" t="s">
        <v>44</v>
      </c>
      <c r="B18" s="10" t="s">
        <v>260</v>
      </c>
      <c r="C18" s="16" t="s">
        <v>5</v>
      </c>
      <c r="D18" s="16" t="s">
        <v>18</v>
      </c>
      <c r="E18" s="16">
        <v>8</v>
      </c>
      <c r="G18" s="16" t="s">
        <v>39</v>
      </c>
    </row>
    <row r="19" spans="1:7">
      <c r="A19" s="20" t="s">
        <v>46</v>
      </c>
      <c r="B19" s="10" t="s">
        <v>261</v>
      </c>
      <c r="C19" s="16" t="s">
        <v>5</v>
      </c>
      <c r="D19" s="16" t="s">
        <v>18</v>
      </c>
      <c r="E19" s="16">
        <v>3</v>
      </c>
      <c r="G19" s="16" t="s">
        <v>39</v>
      </c>
    </row>
    <row r="20" spans="1:7">
      <c r="A20" s="20" t="s">
        <v>46</v>
      </c>
      <c r="B20" s="10" t="s">
        <v>262</v>
      </c>
      <c r="C20" s="16" t="s">
        <v>257</v>
      </c>
      <c r="D20" s="16" t="s">
        <v>18</v>
      </c>
      <c r="E20" s="16">
        <v>5</v>
      </c>
      <c r="G20" s="16" t="s">
        <v>39</v>
      </c>
    </row>
    <row r="21" spans="1:7">
      <c r="A21" s="20" t="s">
        <v>46</v>
      </c>
      <c r="B21" s="10" t="s">
        <v>274</v>
      </c>
      <c r="C21" s="16" t="s">
        <v>257</v>
      </c>
      <c r="D21" s="16" t="s">
        <v>18</v>
      </c>
      <c r="E21" s="16">
        <v>6</v>
      </c>
      <c r="G21" s="16" t="s">
        <v>39</v>
      </c>
    </row>
    <row r="22" spans="1:7">
      <c r="A22" s="20" t="s">
        <v>46</v>
      </c>
      <c r="B22" s="10" t="s">
        <v>275</v>
      </c>
      <c r="C22" s="16" t="s">
        <v>5</v>
      </c>
      <c r="D22" s="16" t="s">
        <v>18</v>
      </c>
      <c r="E22" s="16">
        <v>4</v>
      </c>
      <c r="G22" s="16" t="s">
        <v>39</v>
      </c>
    </row>
    <row r="23" spans="1:7">
      <c r="A23" s="20" t="s">
        <v>46</v>
      </c>
      <c r="B23" s="10" t="s">
        <v>308</v>
      </c>
      <c r="C23" s="16" t="s">
        <v>5</v>
      </c>
      <c r="D23" s="16" t="s">
        <v>18</v>
      </c>
      <c r="E23" s="16">
        <v>2</v>
      </c>
      <c r="F23" s="16">
        <v>1</v>
      </c>
      <c r="G23" s="16" t="s">
        <v>306</v>
      </c>
    </row>
    <row r="24" spans="1:7">
      <c r="A24" s="20" t="s">
        <v>46</v>
      </c>
      <c r="B24" s="10" t="s">
        <v>263</v>
      </c>
      <c r="C24" s="16" t="s">
        <v>257</v>
      </c>
      <c r="D24" s="16" t="s">
        <v>18</v>
      </c>
      <c r="E24" s="16">
        <v>8</v>
      </c>
      <c r="G24" s="16" t="s">
        <v>39</v>
      </c>
    </row>
    <row r="25" spans="1:7">
      <c r="A25" s="50" t="s">
        <v>264</v>
      </c>
      <c r="B25" s="10" t="s">
        <v>265</v>
      </c>
      <c r="C25" s="16" t="s">
        <v>5</v>
      </c>
      <c r="D25" s="16" t="s">
        <v>18</v>
      </c>
      <c r="E25" s="16">
        <v>3</v>
      </c>
      <c r="F25" s="16">
        <v>1</v>
      </c>
      <c r="G25" s="16" t="s">
        <v>57</v>
      </c>
    </row>
    <row r="26" spans="1:7">
      <c r="A26" s="50" t="s">
        <v>264</v>
      </c>
      <c r="B26" s="10" t="s">
        <v>266</v>
      </c>
      <c r="C26" s="16" t="s">
        <v>5</v>
      </c>
      <c r="D26" s="16" t="s">
        <v>18</v>
      </c>
      <c r="E26" s="16">
        <v>2</v>
      </c>
      <c r="G26" s="16" t="s">
        <v>39</v>
      </c>
    </row>
    <row r="27" spans="1:7">
      <c r="A27" s="50" t="s">
        <v>264</v>
      </c>
      <c r="B27" s="10" t="s">
        <v>267</v>
      </c>
      <c r="C27" s="16" t="s">
        <v>5</v>
      </c>
      <c r="D27" s="16" t="s">
        <v>18</v>
      </c>
      <c r="E27" s="16">
        <v>1</v>
      </c>
      <c r="F27" s="16">
        <v>1</v>
      </c>
      <c r="G27" s="16" t="s">
        <v>57</v>
      </c>
    </row>
    <row r="28" spans="1:7">
      <c r="A28" s="50" t="s">
        <v>264</v>
      </c>
      <c r="B28" s="10" t="s">
        <v>268</v>
      </c>
      <c r="C28" s="16" t="s">
        <v>5</v>
      </c>
      <c r="D28" s="16" t="s">
        <v>18</v>
      </c>
      <c r="E28" s="16">
        <v>2</v>
      </c>
      <c r="G28" s="16" t="s">
        <v>39</v>
      </c>
    </row>
    <row r="29" spans="1:7">
      <c r="A29" s="50" t="s">
        <v>264</v>
      </c>
      <c r="B29" s="10" t="s">
        <v>269</v>
      </c>
      <c r="C29" s="16" t="s">
        <v>5</v>
      </c>
      <c r="D29" s="16" t="s">
        <v>18</v>
      </c>
      <c r="E29" s="16">
        <v>2</v>
      </c>
      <c r="G29" s="16" t="s">
        <v>39</v>
      </c>
    </row>
    <row r="30" spans="1:7">
      <c r="A30" s="21" t="s">
        <v>40</v>
      </c>
      <c r="B30" s="10" t="s">
        <v>270</v>
      </c>
      <c r="C30" s="16" t="s">
        <v>257</v>
      </c>
      <c r="D30" s="16" t="s">
        <v>18</v>
      </c>
      <c r="E30" s="16">
        <v>2</v>
      </c>
      <c r="G30" s="16" t="s">
        <v>306</v>
      </c>
    </row>
    <row r="31" spans="1:7">
      <c r="A31" s="21" t="s">
        <v>40</v>
      </c>
      <c r="B31" s="10" t="s">
        <v>271</v>
      </c>
      <c r="C31" s="16" t="s">
        <v>257</v>
      </c>
      <c r="D31" s="16" t="s">
        <v>18</v>
      </c>
      <c r="E31" s="16">
        <v>1</v>
      </c>
      <c r="G31" s="16" t="s">
        <v>39</v>
      </c>
    </row>
    <row r="32" spans="1:7">
      <c r="A32" s="21" t="s">
        <v>40</v>
      </c>
      <c r="B32" s="10" t="s">
        <v>291</v>
      </c>
      <c r="C32" s="16" t="s">
        <v>5</v>
      </c>
      <c r="D32" s="16" t="s">
        <v>18</v>
      </c>
      <c r="E32" s="16">
        <v>2</v>
      </c>
      <c r="G32" s="16" t="s">
        <v>39</v>
      </c>
    </row>
    <row r="33" spans="1:7">
      <c r="A33" s="21" t="s">
        <v>40</v>
      </c>
      <c r="B33" s="10" t="s">
        <v>272</v>
      </c>
      <c r="C33" s="16" t="s">
        <v>5</v>
      </c>
      <c r="D33" s="16" t="s">
        <v>18</v>
      </c>
      <c r="E33" s="16">
        <v>3</v>
      </c>
      <c r="G33" s="16" t="s">
        <v>39</v>
      </c>
    </row>
    <row r="34" spans="1:7">
      <c r="A34" s="21" t="s">
        <v>40</v>
      </c>
      <c r="B34" s="10" t="s">
        <v>273</v>
      </c>
      <c r="C34" s="16" t="s">
        <v>257</v>
      </c>
      <c r="D34" s="16" t="s">
        <v>18</v>
      </c>
      <c r="E34" s="16">
        <v>6</v>
      </c>
      <c r="G34" s="16" t="s">
        <v>39</v>
      </c>
    </row>
    <row r="35" spans="1:7">
      <c r="A35" s="22" t="s">
        <v>41</v>
      </c>
      <c r="B35" s="10" t="s">
        <v>276</v>
      </c>
      <c r="C35" s="16" t="s">
        <v>5</v>
      </c>
      <c r="D35" s="16" t="s">
        <v>18</v>
      </c>
      <c r="E35" s="16">
        <v>3</v>
      </c>
      <c r="G35" s="16" t="s">
        <v>39</v>
      </c>
    </row>
    <row r="36" spans="1:7">
      <c r="A36" s="22" t="s">
        <v>41</v>
      </c>
      <c r="B36" s="10" t="s">
        <v>75</v>
      </c>
      <c r="C36" s="16" t="s">
        <v>5</v>
      </c>
      <c r="D36" s="16" t="s">
        <v>18</v>
      </c>
      <c r="E36" s="16">
        <v>0</v>
      </c>
      <c r="G36" s="16" t="s">
        <v>57</v>
      </c>
    </row>
    <row r="37" spans="1:7">
      <c r="A37" s="23" t="s">
        <v>42</v>
      </c>
      <c r="B37" s="10" t="s">
        <v>278</v>
      </c>
      <c r="D37" s="16" t="s">
        <v>293</v>
      </c>
      <c r="E37" s="16">
        <v>2</v>
      </c>
      <c r="G37" s="16" t="s">
        <v>39</v>
      </c>
    </row>
    <row r="38" spans="1:7">
      <c r="A38" s="23" t="s">
        <v>42</v>
      </c>
      <c r="B38" s="10" t="s">
        <v>279</v>
      </c>
      <c r="C38" s="16" t="s">
        <v>5</v>
      </c>
      <c r="D38" s="16" t="s">
        <v>293</v>
      </c>
      <c r="E38" s="16">
        <v>1</v>
      </c>
      <c r="G38" s="16" t="s">
        <v>39</v>
      </c>
    </row>
    <row r="39" spans="1:7">
      <c r="A39" s="23" t="s">
        <v>42</v>
      </c>
      <c r="B39" s="10" t="s">
        <v>280</v>
      </c>
      <c r="D39" s="16" t="s">
        <v>293</v>
      </c>
      <c r="E39" s="16">
        <v>1</v>
      </c>
      <c r="G39" s="16" t="s">
        <v>39</v>
      </c>
    </row>
    <row r="40" spans="1:7">
      <c r="A40" s="10" t="s">
        <v>277</v>
      </c>
      <c r="B40" s="10" t="s">
        <v>281</v>
      </c>
      <c r="D40" s="16" t="s">
        <v>10</v>
      </c>
      <c r="E40" s="16">
        <v>6</v>
      </c>
      <c r="G40" s="16" t="s">
        <v>39</v>
      </c>
    </row>
    <row r="41" spans="1:7">
      <c r="A41" s="10" t="s">
        <v>277</v>
      </c>
      <c r="B41" s="10" t="s">
        <v>282</v>
      </c>
      <c r="D41" s="16" t="s">
        <v>10</v>
      </c>
      <c r="E41" s="16">
        <v>6</v>
      </c>
      <c r="G41" s="16" t="s">
        <v>39</v>
      </c>
    </row>
    <row r="42" spans="1:7">
      <c r="A42" s="10" t="s">
        <v>277</v>
      </c>
      <c r="B42" s="10" t="s">
        <v>283</v>
      </c>
      <c r="D42" s="16" t="s">
        <v>18</v>
      </c>
      <c r="E42" s="16">
        <v>0</v>
      </c>
      <c r="G42" s="16" t="s">
        <v>39</v>
      </c>
    </row>
    <row r="43" spans="1:7">
      <c r="A43" s="13" t="s">
        <v>38</v>
      </c>
      <c r="B43" s="10" t="s">
        <v>284</v>
      </c>
      <c r="C43" s="16" t="s">
        <v>257</v>
      </c>
      <c r="D43" s="16" t="s">
        <v>10</v>
      </c>
      <c r="E43" s="16">
        <v>1</v>
      </c>
      <c r="G43" s="16" t="s">
        <v>39</v>
      </c>
    </row>
    <row r="44" spans="1:7">
      <c r="A44" s="13" t="s">
        <v>38</v>
      </c>
      <c r="B44" s="10" t="s">
        <v>285</v>
      </c>
      <c r="C44" s="16" t="s">
        <v>5</v>
      </c>
      <c r="D44" s="16" t="s">
        <v>10</v>
      </c>
      <c r="E44" s="16">
        <v>8</v>
      </c>
      <c r="G44" s="16" t="s">
        <v>39</v>
      </c>
    </row>
    <row r="45" spans="1:7">
      <c r="A45" s="13" t="s">
        <v>38</v>
      </c>
      <c r="B45" s="10" t="s">
        <v>286</v>
      </c>
      <c r="C45" s="16" t="s">
        <v>5</v>
      </c>
      <c r="D45" s="16" t="s">
        <v>10</v>
      </c>
      <c r="E45" s="16">
        <v>6</v>
      </c>
      <c r="G45" s="16" t="s">
        <v>39</v>
      </c>
    </row>
    <row r="46" spans="1:7">
      <c r="A46" s="13" t="s">
        <v>38</v>
      </c>
      <c r="B46" s="10" t="s">
        <v>287</v>
      </c>
      <c r="C46" s="16" t="s">
        <v>5</v>
      </c>
      <c r="D46" s="16" t="s">
        <v>10</v>
      </c>
      <c r="E46" s="16">
        <v>8</v>
      </c>
      <c r="G46" s="16" t="s">
        <v>39</v>
      </c>
    </row>
    <row r="47" spans="1:7">
      <c r="A47" s="13" t="s">
        <v>38</v>
      </c>
      <c r="B47" s="10" t="s">
        <v>288</v>
      </c>
      <c r="C47" s="16" t="s">
        <v>5</v>
      </c>
      <c r="D47" s="16" t="s">
        <v>10</v>
      </c>
      <c r="E47" s="16">
        <v>8</v>
      </c>
      <c r="G47" s="16" t="s">
        <v>39</v>
      </c>
    </row>
    <row r="48" spans="1:7">
      <c r="A48" s="13" t="s">
        <v>38</v>
      </c>
      <c r="B48" s="10" t="s">
        <v>289</v>
      </c>
      <c r="C48" s="16" t="s">
        <v>5</v>
      </c>
      <c r="D48" s="16" t="s">
        <v>10</v>
      </c>
      <c r="E48" s="16">
        <v>4</v>
      </c>
      <c r="G48" s="16" t="s">
        <v>39</v>
      </c>
    </row>
    <row r="49" spans="1:7">
      <c r="A49" s="13" t="s">
        <v>38</v>
      </c>
      <c r="B49" s="10" t="s">
        <v>290</v>
      </c>
      <c r="C49" s="16" t="s">
        <v>5</v>
      </c>
      <c r="D49" s="16" t="s">
        <v>10</v>
      </c>
      <c r="E49" s="16">
        <v>12</v>
      </c>
      <c r="G49" s="16" t="s">
        <v>39</v>
      </c>
    </row>
    <row r="50" spans="1:7">
      <c r="A50" s="13" t="s">
        <v>38</v>
      </c>
      <c r="B50" s="10" t="s">
        <v>292</v>
      </c>
      <c r="C50" s="16" t="s">
        <v>5</v>
      </c>
      <c r="D50" s="16" t="s">
        <v>293</v>
      </c>
      <c r="E50" s="16">
        <v>12</v>
      </c>
      <c r="F50" s="10"/>
      <c r="G50" s="16" t="s">
        <v>39</v>
      </c>
    </row>
    <row r="52" spans="1:7">
      <c r="A52" s="10" t="s">
        <v>309</v>
      </c>
      <c r="B52" s="10" t="s">
        <v>310</v>
      </c>
    </row>
  </sheetData>
  <autoFilter ref="B2:G42" xr:uid="{00000000-0001-0000-0000-000000000000}">
    <sortState xmlns:xlrd2="http://schemas.microsoft.com/office/spreadsheetml/2017/richdata2" ref="B3:G34">
      <sortCondition ref="B2:B34"/>
    </sortState>
  </autoFilter>
  <phoneticPr fontId="1"/>
  <dataValidations count="3">
    <dataValidation type="list" allowBlank="1" showInputMessage="1" showErrorMessage="1" sqref="D3:D50" xr:uid="{8982FD40-CA4D-4B92-93FE-B37B6B67ACD6}">
      <formula1>"プロト,アルファ,ベータ,マスタ"</formula1>
    </dataValidation>
    <dataValidation type="list" allowBlank="1" showInputMessage="1" showErrorMessage="1" sqref="G3:G50" xr:uid="{E1CFE88F-4F87-4696-BE21-1133C2AEB8C1}">
      <formula1>"未着手,作業中,完了"</formula1>
    </dataValidation>
    <dataValidation type="list" allowBlank="1" showInputMessage="1" showErrorMessage="1" sqref="C3:C50"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7" zoomScale="115" zoomScaleNormal="115" workbookViewId="0">
      <selection activeCell="G23" sqref="G23:H23"/>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3">
      <c r="C17" s="31">
        <v>21</v>
      </c>
      <c r="D17" s="31">
        <v>22</v>
      </c>
      <c r="E17" s="31">
        <v>23</v>
      </c>
      <c r="F17" s="31">
        <v>24</v>
      </c>
      <c r="G17" s="31">
        <v>25</v>
      </c>
      <c r="H17" s="31">
        <v>26</v>
      </c>
      <c r="I17" s="31">
        <v>27</v>
      </c>
    </row>
    <row r="18" spans="3:13">
      <c r="C18" s="31">
        <v>28</v>
      </c>
      <c r="D18" s="31">
        <v>29</v>
      </c>
      <c r="E18" s="31">
        <v>30</v>
      </c>
      <c r="F18" s="10"/>
      <c r="G18" s="10"/>
      <c r="H18" s="10"/>
      <c r="I18" s="10"/>
      <c r="K18">
        <v>19</v>
      </c>
    </row>
    <row r="20" spans="3:13">
      <c r="C20" t="s">
        <v>64</v>
      </c>
    </row>
    <row r="21" spans="3:13">
      <c r="C21" s="11" t="s">
        <v>50</v>
      </c>
      <c r="D21" s="11" t="s">
        <v>51</v>
      </c>
      <c r="E21" s="11" t="s">
        <v>52</v>
      </c>
      <c r="F21" s="11" t="s">
        <v>53</v>
      </c>
      <c r="G21" s="11" t="s">
        <v>54</v>
      </c>
      <c r="H21" s="11" t="s">
        <v>55</v>
      </c>
      <c r="I21" s="11" t="s">
        <v>56</v>
      </c>
    </row>
    <row r="22" spans="3:13">
      <c r="C22" s="10"/>
      <c r="D22" s="10"/>
      <c r="E22" s="10"/>
      <c r="F22" s="31">
        <v>1</v>
      </c>
      <c r="G22" s="31">
        <v>2</v>
      </c>
      <c r="H22" s="31">
        <v>3</v>
      </c>
      <c r="I22" s="31">
        <v>4</v>
      </c>
    </row>
    <row r="23" spans="3:13">
      <c r="C23" s="31">
        <v>5</v>
      </c>
      <c r="D23" s="31">
        <v>6</v>
      </c>
      <c r="E23" s="31">
        <v>7</v>
      </c>
      <c r="F23" s="31">
        <v>8</v>
      </c>
      <c r="G23" s="31">
        <v>9</v>
      </c>
      <c r="H23" s="31">
        <v>10</v>
      </c>
      <c r="I23" s="31">
        <v>11</v>
      </c>
    </row>
    <row r="24" spans="3:13">
      <c r="C24" s="31">
        <v>12</v>
      </c>
      <c r="D24" s="31">
        <v>13</v>
      </c>
      <c r="E24" s="31">
        <v>14</v>
      </c>
      <c r="F24" s="31">
        <v>15</v>
      </c>
      <c r="G24" s="31">
        <v>16</v>
      </c>
      <c r="H24" s="31">
        <v>17</v>
      </c>
      <c r="I24" s="19">
        <v>18</v>
      </c>
    </row>
    <row r="25" spans="3:13">
      <c r="C25" s="19">
        <v>19</v>
      </c>
      <c r="D25" s="19">
        <v>20</v>
      </c>
      <c r="E25" s="19">
        <v>21</v>
      </c>
      <c r="F25" s="19">
        <v>22</v>
      </c>
      <c r="G25" s="19">
        <v>23</v>
      </c>
      <c r="H25" s="19">
        <v>24</v>
      </c>
      <c r="I25" s="19">
        <v>25</v>
      </c>
    </row>
    <row r="26" spans="3:13">
      <c r="C26" s="49">
        <v>26</v>
      </c>
      <c r="D26" s="49">
        <v>27</v>
      </c>
      <c r="E26" s="49">
        <v>28</v>
      </c>
      <c r="F26" s="49">
        <v>29</v>
      </c>
      <c r="G26" s="49">
        <v>30</v>
      </c>
      <c r="H26" s="49">
        <v>31</v>
      </c>
      <c r="I26" s="11"/>
      <c r="K26">
        <v>31</v>
      </c>
    </row>
    <row r="29" spans="3:13">
      <c r="M29">
        <v>34</v>
      </c>
    </row>
    <row r="30" spans="3:13">
      <c r="C30" t="s">
        <v>65</v>
      </c>
    </row>
    <row r="31" spans="3:13">
      <c r="C31" s="11" t="s">
        <v>50</v>
      </c>
      <c r="D31" s="11" t="s">
        <v>51</v>
      </c>
      <c r="E31" s="11" t="s">
        <v>52</v>
      </c>
      <c r="F31" s="11" t="s">
        <v>53</v>
      </c>
      <c r="G31" s="11" t="s">
        <v>54</v>
      </c>
      <c r="H31" s="11" t="s">
        <v>55</v>
      </c>
      <c r="I31" s="11" t="s">
        <v>56</v>
      </c>
    </row>
    <row r="32" spans="3:13">
      <c r="C32" s="10"/>
      <c r="D32" s="10"/>
      <c r="E32" s="10"/>
      <c r="F32" s="10"/>
      <c r="G32" s="10"/>
      <c r="H32" s="10"/>
      <c r="I32" s="49">
        <v>1</v>
      </c>
      <c r="K32">
        <v>31</v>
      </c>
    </row>
    <row r="33" spans="3:9">
      <c r="C33" s="19">
        <v>2</v>
      </c>
      <c r="D33" s="19">
        <v>3</v>
      </c>
      <c r="E33" s="19">
        <v>4</v>
      </c>
      <c r="F33" s="19">
        <v>5</v>
      </c>
      <c r="G33" s="19">
        <v>6</v>
      </c>
      <c r="H33" s="19">
        <v>7</v>
      </c>
      <c r="I33" s="19">
        <v>8</v>
      </c>
    </row>
    <row r="34" spans="3:9">
      <c r="C34" s="19">
        <v>9</v>
      </c>
      <c r="D34" s="19">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41"/>
  <sheetViews>
    <sheetView topLeftCell="A20" workbookViewId="0">
      <selection activeCell="C42" sqref="C42"/>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P33"/>
  <sheetViews>
    <sheetView tabSelected="1" topLeftCell="A4"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16">
      <c r="B17" t="s">
        <v>131</v>
      </c>
      <c r="D17" t="s">
        <v>145</v>
      </c>
    </row>
    <row r="18" spans="2:16">
      <c r="B18" t="s">
        <v>327</v>
      </c>
    </row>
    <row r="19" spans="2:16">
      <c r="B19" t="s">
        <v>207</v>
      </c>
    </row>
    <row r="20" spans="2:16">
      <c r="B20" t="s">
        <v>311</v>
      </c>
      <c r="D20" t="s">
        <v>312</v>
      </c>
    </row>
    <row r="21" spans="2:16">
      <c r="D21" t="s">
        <v>313</v>
      </c>
      <c r="E21" t="s">
        <v>314</v>
      </c>
    </row>
    <row r="22" spans="2:16">
      <c r="D22" t="s">
        <v>315</v>
      </c>
      <c r="E22" t="s">
        <v>316</v>
      </c>
    </row>
    <row r="23" spans="2:16">
      <c r="D23" t="s">
        <v>317</v>
      </c>
      <c r="E23" t="s">
        <v>318</v>
      </c>
    </row>
    <row r="27" spans="2:16">
      <c r="D27" t="s">
        <v>319</v>
      </c>
    </row>
    <row r="29" spans="2:16">
      <c r="D29" t="s">
        <v>320</v>
      </c>
      <c r="H29" t="s">
        <v>324</v>
      </c>
      <c r="O29" t="s">
        <v>325</v>
      </c>
      <c r="P29" t="s">
        <v>326</v>
      </c>
    </row>
    <row r="30" spans="2:16">
      <c r="D30" t="s">
        <v>321</v>
      </c>
    </row>
    <row r="31" spans="2:16">
      <c r="D31" t="s">
        <v>322</v>
      </c>
    </row>
    <row r="33" spans="4:4">
      <c r="D33" t="s">
        <v>323</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2026-07-01T22:33:30Z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