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tsyts\GitHub\2026_summer\進捗\"/>
    </mc:Choice>
  </mc:AlternateContent>
  <xr:revisionPtr revIDLastSave="0" documentId="13_ncr:1_{9014899B-55C9-4B38-A2C3-28CB3D8CDB43}" xr6:coauthVersionLast="47" xr6:coauthVersionMax="47" xr10:uidLastSave="{00000000-0000-0000-0000-000000000000}"/>
  <bookViews>
    <workbookView xWindow="-23970" yWindow="4455" windowWidth="22110" windowHeight="11025" activeTab="5" xr2:uid="{00000000-000D-0000-FFFF-FFFF00000000}"/>
  </bookViews>
  <sheets>
    <sheet name="概要" sheetId="5" r:id="rId1"/>
    <sheet name="作業工数見積もり" sheetId="1" r:id="rId2"/>
    <sheet name="カレンダー" sheetId="6" r:id="rId3"/>
    <sheet name="日記" sheetId="12" r:id="rId4"/>
    <sheet name="Sheet1" sheetId="16" r:id="rId5"/>
    <sheet name="メモ" sheetId="9" r:id="rId6"/>
    <sheet name="雑用" sheetId="10" r:id="rId7"/>
    <sheet name="仕様書①" sheetId="13" r:id="rId8"/>
    <sheet name="仕様書②" sheetId="15" r:id="rId9"/>
    <sheet name="クラス設計" sheetId="14" r:id="rId10"/>
  </sheets>
  <definedNames>
    <definedName name="_xlnm._FilterDatabase" localSheetId="1" hidden="1">作業工数見積もり!$B$2:$G$55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M3" i="1"/>
  <c r="M6" i="1"/>
  <c r="M5" i="1"/>
  <c r="M4" i="1"/>
  <c r="K6" i="1"/>
  <c r="K5" i="1"/>
  <c r="K4" i="1"/>
  <c r="J6" i="1"/>
  <c r="J5" i="1"/>
  <c r="J4" i="1"/>
  <c r="L5" i="1"/>
  <c r="L6" i="1"/>
  <c r="L4" i="1"/>
  <c r="L3" i="1"/>
  <c r="C3" i="5"/>
  <c r="C4" i="5"/>
  <c r="C6" i="5"/>
  <c r="C7" i="5"/>
  <c r="C5" i="5" s="1"/>
  <c r="C10" i="5"/>
  <c r="D10" i="5"/>
  <c r="C11" i="5"/>
  <c r="D11" i="5"/>
  <c r="C12" i="5"/>
  <c r="D12" i="5"/>
  <c r="N3" i="1" l="1"/>
  <c r="N6" i="1"/>
  <c r="N5" i="1"/>
  <c r="N4" i="1"/>
  <c r="J3" i="1"/>
  <c r="E12" i="5"/>
  <c r="D5" i="5"/>
  <c r="E10" i="5"/>
  <c r="E11" i="5"/>
</calcChain>
</file>

<file path=xl/sharedStrings.xml><?xml version="1.0" encoding="utf-8"?>
<sst xmlns="http://schemas.openxmlformats.org/spreadsheetml/2006/main" count="701" uniqueCount="462">
  <si>
    <t>アルファ</t>
    <phoneticPr fontId="1"/>
  </si>
  <si>
    <t>優先度</t>
    <rPh sb="0" eb="3">
      <t>ユウセンド</t>
    </rPh>
    <phoneticPr fontId="1"/>
  </si>
  <si>
    <t>バージョン</t>
    <phoneticPr fontId="1"/>
  </si>
  <si>
    <t>実コスト</t>
    <rPh sb="0" eb="1">
      <t>ジツ</t>
    </rPh>
    <phoneticPr fontId="1"/>
  </si>
  <si>
    <t>総コスト</t>
    <rPh sb="0" eb="1">
      <t>ソウ</t>
    </rPh>
    <phoneticPr fontId="1"/>
  </si>
  <si>
    <t>S</t>
  </si>
  <si>
    <t>消化コスト</t>
    <rPh sb="0" eb="2">
      <t>ショウカ</t>
    </rPh>
    <phoneticPr fontId="1"/>
  </si>
  <si>
    <t>消費コスト / 日数</t>
    <rPh sb="0" eb="2">
      <t>ショウヒ</t>
    </rPh>
    <rPh sb="8" eb="10">
      <t>ニッスウ</t>
    </rPh>
    <phoneticPr fontId="1"/>
  </si>
  <si>
    <t>現在の日数(土日除く)</t>
    <rPh sb="0" eb="2">
      <t>ゲンザイ</t>
    </rPh>
    <rPh sb="3" eb="5">
      <t>ニッスウ</t>
    </rPh>
    <rPh sb="6" eb="8">
      <t>ドニチ</t>
    </rPh>
    <rPh sb="8" eb="9">
      <t>ノゾ</t>
    </rPh>
    <phoneticPr fontId="1"/>
  </si>
  <si>
    <t>開始日</t>
    <rPh sb="0" eb="3">
      <t>カイシビ</t>
    </rPh>
    <phoneticPr fontId="1"/>
  </si>
  <si>
    <t>アルファ</t>
  </si>
  <si>
    <t>今日の日付</t>
    <rPh sb="0" eb="2">
      <t>キョウ</t>
    </rPh>
    <rPh sb="3" eb="5">
      <t>ヒヅケ</t>
    </rPh>
    <phoneticPr fontId="1"/>
  </si>
  <si>
    <t>残り日数(土日除く)</t>
    <rPh sb="0" eb="1">
      <t>ノコ</t>
    </rPh>
    <rPh sb="2" eb="4">
      <t>ニッスウ</t>
    </rPh>
    <rPh sb="5" eb="7">
      <t>ドニチ</t>
    </rPh>
    <rPh sb="7" eb="8">
      <t>ノゾ</t>
    </rPh>
    <phoneticPr fontId="1"/>
  </si>
  <si>
    <t>一日の消費コスト</t>
    <rPh sb="0" eb="2">
      <t>イチニチ</t>
    </rPh>
    <rPh sb="3" eb="5">
      <t>ショウヒ</t>
    </rPh>
    <phoneticPr fontId="1"/>
  </si>
  <si>
    <t>B</t>
  </si>
  <si>
    <t>理想</t>
    <rPh sb="0" eb="2">
      <t>リソウ</t>
    </rPh>
    <phoneticPr fontId="1"/>
  </si>
  <si>
    <t>デッドライン</t>
    <phoneticPr fontId="1"/>
  </si>
  <si>
    <t>真実のデッドライン</t>
    <rPh sb="0" eb="2">
      <t>シンジツ</t>
    </rPh>
    <phoneticPr fontId="1"/>
  </si>
  <si>
    <t>プロト</t>
  </si>
  <si>
    <t>S：実装が必須</t>
    <rPh sb="2" eb="4">
      <t>ジッソウ</t>
    </rPh>
    <rPh sb="5" eb="7">
      <t>ヒッス</t>
    </rPh>
    <phoneticPr fontId="1"/>
  </si>
  <si>
    <t>A：重要な要素</t>
    <rPh sb="2" eb="4">
      <t>ジュウヨウ</t>
    </rPh>
    <rPh sb="5" eb="7">
      <t>ヨウソ</t>
    </rPh>
    <phoneticPr fontId="1"/>
  </si>
  <si>
    <t>B：なくても問題ないがあるといい</t>
    <rPh sb="6" eb="8">
      <t>モンダイ</t>
    </rPh>
    <phoneticPr fontId="1"/>
  </si>
  <si>
    <t>C：なくても問題ない</t>
    <rPh sb="6" eb="8">
      <t>モンダイ</t>
    </rPh>
    <phoneticPr fontId="1"/>
  </si>
  <si>
    <t>作業工数について</t>
    <rPh sb="0" eb="4">
      <t>サギョウコウスウ</t>
    </rPh>
    <phoneticPr fontId="1"/>
  </si>
  <si>
    <t>単位は人日</t>
    <rPh sb="0" eb="2">
      <t>タンイ</t>
    </rPh>
    <rPh sb="3" eb="5">
      <t>ニンニチ</t>
    </rPh>
    <phoneticPr fontId="1"/>
  </si>
  <si>
    <t>1人日＝8時間</t>
    <rPh sb="1" eb="3">
      <t>ニンニチ</t>
    </rPh>
    <rPh sb="5" eb="7">
      <t>ジカン</t>
    </rPh>
    <phoneticPr fontId="1"/>
  </si>
  <si>
    <t>最小＝0.25人日(2時間)</t>
    <rPh sb="0" eb="2">
      <t>サイショウ</t>
    </rPh>
    <rPh sb="7" eb="9">
      <t>ニンニチ</t>
    </rPh>
    <rPh sb="11" eb="13">
      <t>ジカン</t>
    </rPh>
    <phoneticPr fontId="1"/>
  </si>
  <si>
    <t>0.25(2時間)→0.5(4時間)→1(8時間)</t>
    <rPh sb="6" eb="8">
      <t>ジカン</t>
    </rPh>
    <phoneticPr fontId="1"/>
  </si>
  <si>
    <t>プロト</t>
    <phoneticPr fontId="1"/>
  </si>
  <si>
    <t>ベータ</t>
    <phoneticPr fontId="1"/>
  </si>
  <si>
    <t>マスター</t>
    <phoneticPr fontId="1"/>
  </si>
  <si>
    <t>概要</t>
    <rPh sb="0" eb="2">
      <t>ガイヨウ</t>
    </rPh>
    <phoneticPr fontId="1"/>
  </si>
  <si>
    <t>詳細</t>
    <rPh sb="0" eb="2">
      <t>ショウサイ</t>
    </rPh>
    <phoneticPr fontId="1"/>
  </si>
  <si>
    <t>作業工数</t>
    <rPh sb="0" eb="4">
      <t>サギョウコウスウ</t>
    </rPh>
    <phoneticPr fontId="1"/>
  </si>
  <si>
    <t>ステータス</t>
    <phoneticPr fontId="1"/>
  </si>
  <si>
    <t>アルファ素材集め</t>
    <rPh sb="4" eb="6">
      <t>ソザイ</t>
    </rPh>
    <rPh sb="6" eb="7">
      <t>アツ</t>
    </rPh>
    <phoneticPr fontId="1"/>
  </si>
  <si>
    <t>UI素材</t>
    <rPh sb="2" eb="4">
      <t>ソザイ</t>
    </rPh>
    <phoneticPr fontId="1"/>
  </si>
  <si>
    <t>当たり判定</t>
    <rPh sb="0" eb="1">
      <t>ア</t>
    </rPh>
    <rPh sb="3" eb="5">
      <t>ハンテイ</t>
    </rPh>
    <phoneticPr fontId="1"/>
  </si>
  <si>
    <t>システム</t>
    <phoneticPr fontId="1"/>
  </si>
  <si>
    <t>未着手</t>
  </si>
  <si>
    <t>カメラ</t>
    <phoneticPr fontId="1"/>
  </si>
  <si>
    <t>ステージ</t>
    <phoneticPr fontId="1"/>
  </si>
  <si>
    <t>UI</t>
    <phoneticPr fontId="1"/>
  </si>
  <si>
    <t>1コスト1時間</t>
    <rPh sb="5" eb="7">
      <t>ジカン</t>
    </rPh>
    <phoneticPr fontId="1"/>
  </si>
  <si>
    <t>プレイヤー</t>
    <phoneticPr fontId="1"/>
  </si>
  <si>
    <t>4/13まで</t>
    <phoneticPr fontId="1"/>
  </si>
  <si>
    <t>敵</t>
    <rPh sb="0" eb="1">
      <t>テキ</t>
    </rPh>
    <phoneticPr fontId="1"/>
  </si>
  <si>
    <t>モデル探し</t>
    <rPh sb="3" eb="4">
      <t>サガ</t>
    </rPh>
    <phoneticPr fontId="1"/>
  </si>
  <si>
    <t>BGM探し</t>
    <rPh sb="3" eb="4">
      <t>サガ</t>
    </rPh>
    <phoneticPr fontId="1"/>
  </si>
  <si>
    <t>SE探し</t>
    <rPh sb="2" eb="3">
      <t>サガ</t>
    </rPh>
    <phoneticPr fontId="1"/>
  </si>
  <si>
    <t>日</t>
    <rPh sb="0" eb="1">
      <t>ニチ</t>
    </rPh>
    <phoneticPr fontId="1"/>
  </si>
  <si>
    <t>月</t>
  </si>
  <si>
    <t>火</t>
  </si>
  <si>
    <t>水</t>
  </si>
  <si>
    <t>木</t>
  </si>
  <si>
    <t>金</t>
  </si>
  <si>
    <t>土</t>
  </si>
  <si>
    <t>完了</t>
  </si>
  <si>
    <t>実コスト</t>
    <rPh sb="0" eb="1">
      <t>ジツ</t>
    </rPh>
    <phoneticPr fontId="1"/>
  </si>
  <si>
    <t>予想コスト</t>
    <rPh sb="0" eb="2">
      <t>ヨソウ</t>
    </rPh>
    <phoneticPr fontId="1"/>
  </si>
  <si>
    <t>残りコスト</t>
    <rPh sb="0" eb="1">
      <t>ノコ</t>
    </rPh>
    <phoneticPr fontId="1"/>
  </si>
  <si>
    <t>全体の作業時間</t>
    <phoneticPr fontId="1"/>
  </si>
  <si>
    <t>5月</t>
    <rPh sb="1" eb="2">
      <t>ガツ</t>
    </rPh>
    <phoneticPr fontId="1"/>
  </si>
  <si>
    <t>6月</t>
    <rPh sb="1" eb="2">
      <t>ガツ</t>
    </rPh>
    <phoneticPr fontId="1"/>
  </si>
  <si>
    <t>7月</t>
    <rPh sb="1" eb="2">
      <t>ガツ</t>
    </rPh>
    <phoneticPr fontId="1"/>
  </si>
  <si>
    <t>8月</t>
    <rPh sb="1" eb="2">
      <t>ガツ</t>
    </rPh>
    <phoneticPr fontId="1"/>
  </si>
  <si>
    <t>masuta</t>
    <phoneticPr fontId="1"/>
  </si>
  <si>
    <t>計81日</t>
    <rPh sb="0" eb="1">
      <t>ケイ</t>
    </rPh>
    <rPh sb="3" eb="4">
      <t>ニチ</t>
    </rPh>
    <phoneticPr fontId="1"/>
  </si>
  <si>
    <t>日数</t>
    <rPh sb="0" eb="2">
      <t>ニッスウ</t>
    </rPh>
    <phoneticPr fontId="1"/>
  </si>
  <si>
    <t>コンボ攻撃</t>
    <rPh sb="3" eb="5">
      <t>コウゲキ</t>
    </rPh>
    <phoneticPr fontId="1"/>
  </si>
  <si>
    <t>カメラの当たり判定</t>
    <rPh sb="4" eb="5">
      <t>ア</t>
    </rPh>
    <rPh sb="7" eb="9">
      <t>ハンテイ</t>
    </rPh>
    <phoneticPr fontId="1"/>
  </si>
  <si>
    <t>攻撃</t>
    <rPh sb="0" eb="2">
      <t>コウゲキ</t>
    </rPh>
    <phoneticPr fontId="1"/>
  </si>
  <si>
    <t>ジャスト回避</t>
    <rPh sb="4" eb="6">
      <t>カイヒ</t>
    </rPh>
    <phoneticPr fontId="1"/>
  </si>
  <si>
    <t>ダッシュ攻撃</t>
    <rPh sb="4" eb="6">
      <t>コウゲキ</t>
    </rPh>
    <phoneticPr fontId="1"/>
  </si>
  <si>
    <t>警戒</t>
    <rPh sb="0" eb="2">
      <t>ケイカイ</t>
    </rPh>
    <phoneticPr fontId="1"/>
  </si>
  <si>
    <t>ステージの当たり判定</t>
    <rPh sb="5" eb="6">
      <t>ア</t>
    </rPh>
    <rPh sb="8" eb="10">
      <t>ハンテイ</t>
    </rPh>
    <phoneticPr fontId="1"/>
  </si>
  <si>
    <t>必須：入力バッファのシステムがいる！！！</t>
    <rPh sb="0" eb="2">
      <t>ヒッス</t>
    </rPh>
    <rPh sb="3" eb="5">
      <t>ニュウリョク</t>
    </rPh>
    <phoneticPr fontId="1"/>
  </si>
  <si>
    <t>月日</t>
    <rPh sb="0" eb="2">
      <t>ツキヒ</t>
    </rPh>
    <phoneticPr fontId="1"/>
  </si>
  <si>
    <t>時間</t>
    <rPh sb="0" eb="2">
      <t>ジカン</t>
    </rPh>
    <phoneticPr fontId="1"/>
  </si>
  <si>
    <t>メモ</t>
    <phoneticPr fontId="1"/>
  </si>
  <si>
    <t>8時間</t>
    <rPh sb="1" eb="3">
      <t>ジカン</t>
    </rPh>
    <phoneticPr fontId="1"/>
  </si>
  <si>
    <t>シーンコントローラー、Input,とかの基盤を作った、Playerクラスの基底クラスの基盤を作った、PlayerのStatePatternを作っている途中</t>
    <rPh sb="20" eb="22">
      <t>キバン</t>
    </rPh>
    <rPh sb="23" eb="24">
      <t>ツク</t>
    </rPh>
    <rPh sb="37" eb="39">
      <t>キテイ</t>
    </rPh>
    <rPh sb="43" eb="45">
      <t>キバン</t>
    </rPh>
    <rPh sb="46" eb="47">
      <t>ツク</t>
    </rPh>
    <rPh sb="70" eb="71">
      <t>ツク</t>
    </rPh>
    <rPh sb="75" eb="77">
      <t>トチュウ</t>
    </rPh>
    <phoneticPr fontId="1"/>
  </si>
  <si>
    <t>5時間</t>
    <rPh sb="1" eb="3">
      <t>ジカン</t>
    </rPh>
    <phoneticPr fontId="1"/>
  </si>
  <si>
    <t>PlayerStateのattackState作ってた、次はattack中の移動時間を制限する</t>
    <rPh sb="23" eb="24">
      <t>ツク</t>
    </rPh>
    <rPh sb="28" eb="29">
      <t>ツギ</t>
    </rPh>
    <rPh sb="36" eb="37">
      <t>チュウ</t>
    </rPh>
    <rPh sb="38" eb="40">
      <t>イドウ</t>
    </rPh>
    <rPh sb="40" eb="42">
      <t>ジカン</t>
    </rPh>
    <rPh sb="43" eb="45">
      <t>セイゲン</t>
    </rPh>
    <phoneticPr fontId="1"/>
  </si>
  <si>
    <t>まだ当たり判定系はなにもしていない</t>
    <rPh sb="2" eb="3">
      <t>ア</t>
    </rPh>
    <rPh sb="5" eb="8">
      <t>ハンテイケイ</t>
    </rPh>
    <phoneticPr fontId="1"/>
  </si>
  <si>
    <t>←必須ではなかった</t>
    <rPh sb="1" eb="3">
      <t>ヒッス</t>
    </rPh>
    <phoneticPr fontId="1"/>
  </si>
  <si>
    <t>入力バッファの利点：爽快感が上がり、雑にコンボができるようになる</t>
    <rPh sb="0" eb="2">
      <t>ニュウリョク</t>
    </rPh>
    <rPh sb="7" eb="9">
      <t>リテン</t>
    </rPh>
    <rPh sb="10" eb="13">
      <t>ソウカイカン</t>
    </rPh>
    <rPh sb="14" eb="15">
      <t>ア</t>
    </rPh>
    <rPh sb="18" eb="19">
      <t>ザツ</t>
    </rPh>
    <phoneticPr fontId="1"/>
  </si>
  <si>
    <t>現在、0.2~0.8のがばでとっているため、あまり変わらない</t>
    <rPh sb="0" eb="2">
      <t>ゲンザイ</t>
    </rPh>
    <rPh sb="25" eb="26">
      <t>カ</t>
    </rPh>
    <phoneticPr fontId="1"/>
  </si>
  <si>
    <t>シビアになってきたときに輝く</t>
    <rPh sb="12" eb="13">
      <t>カガヤ</t>
    </rPh>
    <phoneticPr fontId="1"/>
  </si>
  <si>
    <t>just回避、just回避反撃のStateは行動が全然別なので、分けた方がよい</t>
    <rPh sb="4" eb="6">
      <t>カイヒ</t>
    </rPh>
    <rPh sb="11" eb="13">
      <t>カイヒ</t>
    </rPh>
    <rPh sb="13" eb="15">
      <t>ハンゲキ</t>
    </rPh>
    <rPh sb="22" eb="24">
      <t>コウドウ</t>
    </rPh>
    <rPh sb="25" eb="27">
      <t>ゼンゼン</t>
    </rPh>
    <rPh sb="27" eb="28">
      <t>ベツ</t>
    </rPh>
    <rPh sb="32" eb="33">
      <t>ワ</t>
    </rPh>
    <rPh sb="35" eb="36">
      <t>ホウ</t>
    </rPh>
    <phoneticPr fontId="1"/>
  </si>
  <si>
    <t>当たり判定の取り方</t>
    <rPh sb="0" eb="1">
      <t>ア</t>
    </rPh>
    <rPh sb="3" eb="5">
      <t>ハンテイ</t>
    </rPh>
    <rPh sb="6" eb="7">
      <t>ト</t>
    </rPh>
    <rPh sb="8" eb="9">
      <t>カタ</t>
    </rPh>
    <phoneticPr fontId="1"/>
  </si>
  <si>
    <t>①攻撃との当たり判定&amp;物体同士の当たり判定</t>
    <rPh sb="1" eb="3">
      <t>コウゲキ</t>
    </rPh>
    <rPh sb="5" eb="6">
      <t>ア</t>
    </rPh>
    <rPh sb="8" eb="10">
      <t>ハンテイ</t>
    </rPh>
    <rPh sb="11" eb="15">
      <t>ブッタイドウシ</t>
    </rPh>
    <rPh sb="16" eb="17">
      <t>ア</t>
    </rPh>
    <rPh sb="19" eb="21">
      <t>ハンテイ</t>
    </rPh>
    <phoneticPr fontId="1"/>
  </si>
  <si>
    <t>②地形とのポリゴンとの当たり判定</t>
    <rPh sb="1" eb="3">
      <t>チケイ</t>
    </rPh>
    <rPh sb="11" eb="12">
      <t>ア</t>
    </rPh>
    <rPh sb="14" eb="16">
      <t>ハンテイ</t>
    </rPh>
    <phoneticPr fontId="1"/>
  </si>
  <si>
    <t>Set前に未来予測型の当たり判定をする</t>
    <rPh sb="3" eb="4">
      <t>マエ</t>
    </rPh>
    <rPh sb="5" eb="10">
      <t>ミライヨソクガタ</t>
    </rPh>
    <rPh sb="11" eb="12">
      <t>ア</t>
    </rPh>
    <rPh sb="14" eb="16">
      <t>ハンテイ</t>
    </rPh>
    <phoneticPr fontId="1"/>
  </si>
  <si>
    <t>(井上恋のプロジェクト参照)</t>
    <rPh sb="1" eb="3">
      <t>イノウエ</t>
    </rPh>
    <rPh sb="3" eb="4">
      <t>レン</t>
    </rPh>
    <rPh sb="11" eb="13">
      <t>サンショウ</t>
    </rPh>
    <phoneticPr fontId="1"/>
  </si>
  <si>
    <t>attack中の移動制限完了,PlayerStateParryのかけらを作った。次は、DashAttackを作ろうかなぁ。当たり判定を先にやってもいい</t>
    <rPh sb="6" eb="7">
      <t>チュウ</t>
    </rPh>
    <rPh sb="8" eb="12">
      <t>イドウセイゲン</t>
    </rPh>
    <rPh sb="12" eb="14">
      <t>カンリョウ</t>
    </rPh>
    <rPh sb="36" eb="37">
      <t>ツク</t>
    </rPh>
    <rPh sb="40" eb="41">
      <t>ツギ</t>
    </rPh>
    <rPh sb="54" eb="55">
      <t>ツク</t>
    </rPh>
    <rPh sb="61" eb="62">
      <t>ア</t>
    </rPh>
    <rPh sb="64" eb="66">
      <t>ハンテイ</t>
    </rPh>
    <rPh sb="67" eb="68">
      <t>サキ</t>
    </rPh>
    <phoneticPr fontId="1"/>
  </si>
  <si>
    <t>Enemyも作り始めたいけどさすがにPlayerがいろいろ終わった後かな</t>
    <rPh sb="6" eb="7">
      <t>ツク</t>
    </rPh>
    <rPh sb="8" eb="9">
      <t>ハジ</t>
    </rPh>
    <rPh sb="29" eb="30">
      <t>オ</t>
    </rPh>
    <rPh sb="33" eb="34">
      <t>アト</t>
    </rPh>
    <phoneticPr fontId="1"/>
  </si>
  <si>
    <t>アイドル</t>
    <phoneticPr fontId="1"/>
  </si>
  <si>
    <t>移動</t>
    <rPh sb="0" eb="2">
      <t>イドウ</t>
    </rPh>
    <phoneticPr fontId="1"/>
  </si>
  <si>
    <t>ジャンプ</t>
    <phoneticPr fontId="1"/>
  </si>
  <si>
    <t>回避</t>
    <rPh sb="0" eb="2">
      <t>カイヒ</t>
    </rPh>
    <phoneticPr fontId="1"/>
  </si>
  <si>
    <t>攻撃コンボノード</t>
    <rPh sb="0" eb="2">
      <t>コウゲキ</t>
    </rPh>
    <phoneticPr fontId="1"/>
  </si>
  <si>
    <t>弱5段</t>
    <rPh sb="0" eb="1">
      <t>ジャク</t>
    </rPh>
    <rPh sb="2" eb="3">
      <t>ダン</t>
    </rPh>
    <phoneticPr fontId="1"/>
  </si>
  <si>
    <t>強2段</t>
    <rPh sb="0" eb="1">
      <t>キョウ</t>
    </rPh>
    <rPh sb="2" eb="3">
      <t>ダン</t>
    </rPh>
    <phoneticPr fontId="1"/>
  </si>
  <si>
    <t>空中強攻撃1段</t>
    <rPh sb="0" eb="2">
      <t>クウチュウ</t>
    </rPh>
    <rPh sb="2" eb="5">
      <t>キョウコウゲキ</t>
    </rPh>
    <rPh sb="6" eb="7">
      <t>ダン</t>
    </rPh>
    <phoneticPr fontId="1"/>
  </si>
  <si>
    <t>連携攻撃２種</t>
    <rPh sb="0" eb="4">
      <t>レンケイコウゲキ</t>
    </rPh>
    <rPh sb="5" eb="6">
      <t>シュ</t>
    </rPh>
    <phoneticPr fontId="1"/>
  </si>
  <si>
    <t>いずな落とし</t>
    <rPh sb="3" eb="4">
      <t>オ</t>
    </rPh>
    <phoneticPr fontId="1"/>
  </si>
  <si>
    <t>2種</t>
    <rPh sb="1" eb="2">
      <t>シュ</t>
    </rPh>
    <phoneticPr fontId="1"/>
  </si>
  <si>
    <t>雑魚</t>
    <rPh sb="0" eb="2">
      <t>ザコ</t>
    </rPh>
    <phoneticPr fontId="1"/>
  </si>
  <si>
    <t>通常</t>
    <rPh sb="0" eb="2">
      <t>ツウジョウ</t>
    </rPh>
    <phoneticPr fontId="1"/>
  </si>
  <si>
    <t>ちょっと強い敵</t>
    <rPh sb="4" eb="5">
      <t>ツヨ</t>
    </rPh>
    <rPh sb="6" eb="7">
      <t>テキ</t>
    </rPh>
    <phoneticPr fontId="1"/>
  </si>
  <si>
    <t>1種</t>
    <rPh sb="1" eb="2">
      <t>シュ</t>
    </rPh>
    <phoneticPr fontId="1"/>
  </si>
  <si>
    <t>大ボス</t>
    <rPh sb="0" eb="1">
      <t>オオ</t>
    </rPh>
    <phoneticPr fontId="1"/>
  </si>
  <si>
    <t>中ボス</t>
    <rPh sb="0" eb="1">
      <t>チュウ</t>
    </rPh>
    <phoneticPr fontId="1"/>
  </si>
  <si>
    <t>X,Y,X,X,X,Y</t>
    <phoneticPr fontId="1"/>
  </si>
  <si>
    <t>短剣or剣持ち</t>
    <rPh sb="0" eb="2">
      <t>タンケン</t>
    </rPh>
    <rPh sb="4" eb="5">
      <t>ケン</t>
    </rPh>
    <rPh sb="5" eb="6">
      <t>モ</t>
    </rPh>
    <phoneticPr fontId="1"/>
  </si>
  <si>
    <t>攻撃仕様</t>
    <rPh sb="0" eb="2">
      <t>コウゲキ</t>
    </rPh>
    <rPh sb="2" eb="4">
      <t>シヨウ</t>
    </rPh>
    <phoneticPr fontId="1"/>
  </si>
  <si>
    <t>スキル技</t>
    <rPh sb="3" eb="4">
      <t>ワザ</t>
    </rPh>
    <phoneticPr fontId="1"/>
  </si>
  <si>
    <t>弱連携 2技</t>
    <rPh sb="0" eb="1">
      <t>ジャク</t>
    </rPh>
    <rPh sb="1" eb="3">
      <t>レンケイ</t>
    </rPh>
    <rPh sb="5" eb="6">
      <t>ワザ</t>
    </rPh>
    <phoneticPr fontId="1"/>
  </si>
  <si>
    <t>必殺技</t>
    <rPh sb="0" eb="3">
      <t>ヒッサツワザ</t>
    </rPh>
    <phoneticPr fontId="1"/>
  </si>
  <si>
    <t>強化状態</t>
    <rPh sb="0" eb="1">
      <t>キョウ</t>
    </rPh>
    <rPh sb="1" eb="2">
      <t>バ</t>
    </rPh>
    <rPh sb="2" eb="4">
      <t>ジョウタイ</t>
    </rPh>
    <phoneticPr fontId="1"/>
  </si>
  <si>
    <t>ため技で演出あり</t>
    <rPh sb="2" eb="3">
      <t>ワザ</t>
    </rPh>
    <rPh sb="4" eb="6">
      <t>エンシュツ</t>
    </rPh>
    <phoneticPr fontId="1"/>
  </si>
  <si>
    <t>連携技でするかは考え中</t>
    <rPh sb="0" eb="2">
      <t>レンケイ</t>
    </rPh>
    <rPh sb="2" eb="3">
      <t>ワザ</t>
    </rPh>
    <rPh sb="8" eb="9">
      <t>カンガ</t>
    </rPh>
    <rPh sb="10" eb="11">
      <t>チュウ</t>
    </rPh>
    <phoneticPr fontId="1"/>
  </si>
  <si>
    <t>溜めモードはするか悩み</t>
    <rPh sb="0" eb="1">
      <t>タ</t>
    </rPh>
    <rPh sb="9" eb="10">
      <t>ナヤ</t>
    </rPh>
    <phoneticPr fontId="1"/>
  </si>
  <si>
    <t>弱の横一閃</t>
    <rPh sb="0" eb="1">
      <t>ジャク</t>
    </rPh>
    <rPh sb="2" eb="3">
      <t>ヨコ</t>
    </rPh>
    <rPh sb="3" eb="5">
      <t>イッセン</t>
    </rPh>
    <phoneticPr fontId="1"/>
  </si>
  <si>
    <t>空中</t>
    <rPh sb="0" eb="2">
      <t>クウチュウ</t>
    </rPh>
    <phoneticPr fontId="1"/>
  </si>
  <si>
    <t>X,X,X,Y</t>
    <phoneticPr fontId="1"/>
  </si>
  <si>
    <t>X,X,Y</t>
    <phoneticPr fontId="1"/>
  </si>
  <si>
    <t>X,Y</t>
    <phoneticPr fontId="1"/>
  </si>
  <si>
    <t>Y</t>
    <phoneticPr fontId="1"/>
  </si>
  <si>
    <t>空中で敵がいなかったら敵の方向に追従する</t>
    <rPh sb="0" eb="2">
      <t>クウチュウ</t>
    </rPh>
    <rPh sb="3" eb="4">
      <t>テキ</t>
    </rPh>
    <rPh sb="11" eb="12">
      <t>テキ</t>
    </rPh>
    <rPh sb="13" eb="15">
      <t>ホウコウ</t>
    </rPh>
    <rPh sb="16" eb="18">
      <t>ツイジュウ</t>
    </rPh>
    <phoneticPr fontId="1"/>
  </si>
  <si>
    <t>TODO:NEXT</t>
    <phoneticPr fontId="1"/>
  </si>
  <si>
    <t>【血殺について】</t>
    <rPh sb="1" eb="2">
      <t>チ</t>
    </rPh>
    <rPh sb="2" eb="3">
      <t>サツ</t>
    </rPh>
    <phoneticPr fontId="1"/>
  </si>
  <si>
    <t>レンダリングを分けてシェーダーする</t>
    <rPh sb="7" eb="8">
      <t>ワ</t>
    </rPh>
    <phoneticPr fontId="1"/>
  </si>
  <si>
    <t>②文字を描画</t>
    <rPh sb="0" eb="3">
      <t>2モジ</t>
    </rPh>
    <rPh sb="4" eb="6">
      <t>ビョウガ</t>
    </rPh>
    <phoneticPr fontId="1"/>
  </si>
  <si>
    <t>③キャラクターを表示</t>
    <rPh sb="8" eb="10">
      <t>ヒョウジ</t>
    </rPh>
    <phoneticPr fontId="1"/>
  </si>
  <si>
    <t>※エフェクトは白色に表示</t>
    <rPh sb="7" eb="9">
      <t>シロイロ</t>
    </rPh>
    <rPh sb="10" eb="12">
      <t>ヒョウジ</t>
    </rPh>
    <phoneticPr fontId="1"/>
  </si>
  <si>
    <t>空中攻撃4段</t>
    <rPh sb="0" eb="2">
      <t>クウチュウ</t>
    </rPh>
    <rPh sb="2" eb="4">
      <t>コウゲキ</t>
    </rPh>
    <rPh sb="5" eb="6">
      <t>ダン</t>
    </rPh>
    <phoneticPr fontId="1"/>
  </si>
  <si>
    <t>X,X,X,X</t>
    <phoneticPr fontId="1"/>
  </si>
  <si>
    <t>いずなおとし</t>
    <phoneticPr fontId="1"/>
  </si>
  <si>
    <t>砲台</t>
    <rPh sb="0" eb="2">
      <t>ホウダイ</t>
    </rPh>
    <phoneticPr fontId="1"/>
  </si>
  <si>
    <t>空中で攻撃を行ったら、カメラが前に近づく</t>
    <rPh sb="0" eb="2">
      <t>クウチュウ</t>
    </rPh>
    <rPh sb="3" eb="5">
      <t>コウゲキ</t>
    </rPh>
    <rPh sb="6" eb="7">
      <t>オコナ</t>
    </rPh>
    <rPh sb="15" eb="16">
      <t>マエ</t>
    </rPh>
    <rPh sb="17" eb="18">
      <t>チカ</t>
    </rPh>
    <phoneticPr fontId="1"/>
  </si>
  <si>
    <t>攻撃を行ったら、カメラが斜め方向になる</t>
    <rPh sb="0" eb="2">
      <t>コウゲキ</t>
    </rPh>
    <rPh sb="3" eb="4">
      <t>イ</t>
    </rPh>
    <rPh sb="12" eb="13">
      <t>ナナ</t>
    </rPh>
    <rPh sb="14" eb="16">
      <t>ホウコウ</t>
    </rPh>
    <phoneticPr fontId="1"/>
  </si>
  <si>
    <t>基本的に弱攻撃からの強攻撃は空中攻撃を派生</t>
    <rPh sb="0" eb="3">
      <t>キホンテキ</t>
    </rPh>
    <rPh sb="4" eb="7">
      <t>ジャクコウゲキ</t>
    </rPh>
    <rPh sb="10" eb="11">
      <t>キョウ</t>
    </rPh>
    <rPh sb="11" eb="13">
      <t>コウゲキ</t>
    </rPh>
    <rPh sb="14" eb="16">
      <t>クウチュウ</t>
    </rPh>
    <rPh sb="16" eb="18">
      <t>コウゲキ</t>
    </rPh>
    <rPh sb="19" eb="21">
      <t>ハセイ</t>
    </rPh>
    <phoneticPr fontId="1"/>
  </si>
  <si>
    <t>2段目、3段目、4段目時切り上げ</t>
    <rPh sb="1" eb="3">
      <t>ダンメ</t>
    </rPh>
    <rPh sb="5" eb="7">
      <t>ダンメ</t>
    </rPh>
    <rPh sb="9" eb="11">
      <t>ダンメ</t>
    </rPh>
    <rPh sb="11" eb="12">
      <t>ジ</t>
    </rPh>
    <rPh sb="12" eb="13">
      <t>キ</t>
    </rPh>
    <rPh sb="14" eb="15">
      <t>ア</t>
    </rPh>
    <phoneticPr fontId="1"/>
  </si>
  <si>
    <t>カメラを攻撃切り上げ時に空中にカメラが行くようにする</t>
    <rPh sb="4" eb="6">
      <t>コウゲキ</t>
    </rPh>
    <rPh sb="6" eb="7">
      <t>キ</t>
    </rPh>
    <rPh sb="8" eb="9">
      <t>ア</t>
    </rPh>
    <rPh sb="10" eb="11">
      <t>ジ</t>
    </rPh>
    <rPh sb="12" eb="14">
      <t>クウチュウ</t>
    </rPh>
    <rPh sb="19" eb="20">
      <t>イ</t>
    </rPh>
    <phoneticPr fontId="1"/>
  </si>
  <si>
    <t>CG要望</t>
    <rPh sb="2" eb="4">
      <t>ヨウボウ</t>
    </rPh>
    <phoneticPr fontId="1"/>
  </si>
  <si>
    <t>地上5段</t>
    <rPh sb="0" eb="2">
      <t>チジョウ</t>
    </rPh>
    <rPh sb="3" eb="4">
      <t>ダン</t>
    </rPh>
    <phoneticPr fontId="1"/>
  </si>
  <si>
    <t>スキル3段攻撃</t>
    <rPh sb="4" eb="5">
      <t>ダン</t>
    </rPh>
    <rPh sb="5" eb="7">
      <t>コウゲキ</t>
    </rPh>
    <phoneticPr fontId="1"/>
  </si>
  <si>
    <t>空中は触ってみる</t>
    <rPh sb="0" eb="2">
      <t>クウチュウ</t>
    </rPh>
    <rPh sb="3" eb="4">
      <t>サワ</t>
    </rPh>
    <phoneticPr fontId="1"/>
  </si>
  <si>
    <t>スキル強攻撃（一旦一つ）</t>
    <rPh sb="3" eb="6">
      <t>キョウコウゲキ</t>
    </rPh>
    <rPh sb="7" eb="10">
      <t>イッタンヒト</t>
    </rPh>
    <phoneticPr fontId="1"/>
  </si>
  <si>
    <t>敵の仕様書</t>
    <rPh sb="0" eb="1">
      <t>テキ</t>
    </rPh>
    <rPh sb="2" eb="5">
      <t>シヨウショ</t>
    </rPh>
    <phoneticPr fontId="1"/>
  </si>
  <si>
    <t>playerの仕様書</t>
    <rPh sb="7" eb="10">
      <t>シヨウショ</t>
    </rPh>
    <phoneticPr fontId="1"/>
  </si>
  <si>
    <t>忍者外電4　敵キャラ         攻撃種</t>
  </si>
  <si>
    <t>・龍神党尖兵(大砲)</t>
  </si>
  <si>
    <t>技1つ</t>
  </si>
  <si>
    <t>・龍神党尖兵(なぎなた)　　　薙刀分回し(4連攻撃)、牙突攻撃(重め)</t>
  </si>
  <si>
    <t>・龍神党尖兵(飛行)</t>
  </si>
  <si>
    <t>・・龍神党兵長(銃)</t>
  </si>
  <si>
    <t>・・龍神党兵長(手裏剣)</t>
  </si>
  <si>
    <t>・飛天狗(銭杖)　　　　　　鎌の２連攻撃、空を飛ぶ</t>
  </si>
  <si>
    <t>・飛天狗(扇)</t>
  </si>
  <si>
    <t>遠距離キャラ、中身は銃と一緒</t>
  </si>
  <si>
    <t>・大飛天狗</t>
  </si>
  <si>
    <t>近距離6連撃、2連撃、牙突など龍神党兵長に似た感じ</t>
  </si>
  <si>
    <t>・童子(鉈)　　　</t>
  </si>
  <si>
    <t>4パターンぐらい、全部近接、3コンボ(蹴り飛ばし)、6コンボなど</t>
  </si>
  <si>
    <t>・童子(刀)</t>
  </si>
  <si>
    <t>大剣を持っている、大ぶりな攻撃がおおい</t>
  </si>
  <si>
    <t>・龍神党尖兵(刀)　　　　　　2,4種ぐらい</t>
    <phoneticPr fontId="1"/>
  </si>
  <si>
    <t>龍神党尖兵(刀)　</t>
  </si>
  <si>
    <t>・雑魚敵</t>
    <rPh sb="1" eb="4">
      <t>ザコテキ</t>
    </rPh>
    <phoneticPr fontId="1"/>
  </si>
  <si>
    <t>・中ボス</t>
    <rPh sb="1" eb="2">
      <t>チュウ</t>
    </rPh>
    <phoneticPr fontId="1"/>
  </si>
  <si>
    <t>・ちょっと強い敵</t>
    <rPh sb="5" eb="6">
      <t>ツヨ</t>
    </rPh>
    <rPh sb="7" eb="8">
      <t>テキ</t>
    </rPh>
    <phoneticPr fontId="1"/>
  </si>
  <si>
    <t>童子</t>
    <rPh sb="0" eb="1">
      <t>ワラベ</t>
    </rPh>
    <rPh sb="1" eb="2">
      <t>コ</t>
    </rPh>
    <phoneticPr fontId="1"/>
  </si>
  <si>
    <t>・龍神党兵長(刀)　</t>
    <phoneticPr fontId="1"/>
  </si>
  <si>
    <t>　　遠距離技、近距離技2種(1combo,3comboの剣)</t>
    <phoneticPr fontId="1"/>
  </si>
  <si>
    <t>龍神党兵長(刀)　</t>
  </si>
  <si>
    <t>ボス</t>
    <phoneticPr fontId="1"/>
  </si>
  <si>
    <t>1-1のボス</t>
    <phoneticPr fontId="1"/>
  </si>
  <si>
    <t>・龍神党尖兵(銃)　　　　　　2種、近距離技一つと銃技1つ</t>
    <phoneticPr fontId="1"/>
  </si>
  <si>
    <t>龍神党尖兵(銃)　</t>
  </si>
  <si>
    <t>S</t>
    <phoneticPr fontId="1"/>
  </si>
  <si>
    <t>A</t>
    <phoneticPr fontId="1"/>
  </si>
  <si>
    <t>B</t>
    <phoneticPr fontId="1"/>
  </si>
  <si>
    <t>EnemyBase</t>
    <phoneticPr fontId="1"/>
  </si>
  <si>
    <t>警戒態勢</t>
    <rPh sb="0" eb="4">
      <t>ケイカイタイセイ</t>
    </rPh>
    <phoneticPr fontId="1"/>
  </si>
  <si>
    <t>Enemy１</t>
    <phoneticPr fontId="1"/>
  </si>
  <si>
    <t>距離とり</t>
    <rPh sb="0" eb="2">
      <t>キョリ</t>
    </rPh>
    <phoneticPr fontId="1"/>
  </si>
  <si>
    <t>Enemy2</t>
    <phoneticPr fontId="1"/>
  </si>
  <si>
    <t>遠距離攻撃</t>
    <rPh sb="0" eb="5">
      <t>エンキョリコウゲキ</t>
    </rPh>
    <phoneticPr fontId="1"/>
  </si>
  <si>
    <t>近距離攻撃</t>
    <rPh sb="0" eb="3">
      <t>キンキョリ</t>
    </rPh>
    <rPh sb="3" eb="5">
      <t>コウゲキ</t>
    </rPh>
    <phoneticPr fontId="1"/>
  </si>
  <si>
    <t>Enemy3</t>
    <phoneticPr fontId="1"/>
  </si>
  <si>
    <t>近距離攻撃</t>
    <rPh sb="0" eb="5">
      <t>キンキョリコウゲキ</t>
    </rPh>
    <phoneticPr fontId="1"/>
  </si>
  <si>
    <t>pに近づく</t>
    <rPh sb="2" eb="3">
      <t>チカ</t>
    </rPh>
    <phoneticPr fontId="1"/>
  </si>
  <si>
    <t>追いかける</t>
    <rPh sb="0" eb="1">
      <t>オ</t>
    </rPh>
    <phoneticPr fontId="1"/>
  </si>
  <si>
    <t>ばくすて</t>
    <phoneticPr fontId="1"/>
  </si>
  <si>
    <t>攻撃→ばくすて</t>
    <rPh sb="0" eb="2">
      <t>コウゲキ</t>
    </rPh>
    <phoneticPr fontId="1"/>
  </si>
  <si>
    <t>おいかける→攻撃</t>
    <rPh sb="6" eb="8">
      <t>コウゲキ</t>
    </rPh>
    <phoneticPr fontId="1"/>
  </si>
  <si>
    <t>警戒→攻撃or追いかける</t>
    <rPh sb="0" eb="2">
      <t>ケイカイ</t>
    </rPh>
    <rPh sb="3" eb="5">
      <t>コウゲキ</t>
    </rPh>
    <rPh sb="7" eb="8">
      <t>オ</t>
    </rPh>
    <phoneticPr fontId="1"/>
  </si>
  <si>
    <t>攻撃後、硬直あり</t>
    <rPh sb="0" eb="2">
      <t>コウゲキ</t>
    </rPh>
    <rPh sb="2" eb="3">
      <t>ゴ</t>
    </rPh>
    <rPh sb="4" eb="6">
      <t>コウチョク</t>
    </rPh>
    <phoneticPr fontId="1"/>
  </si>
  <si>
    <t>アイドル→</t>
    <phoneticPr fontId="1"/>
  </si>
  <si>
    <t>攻撃、警戒、バクステ、警戒のランダム</t>
    <rPh sb="0" eb="2">
      <t>コウゲキ</t>
    </rPh>
    <rPh sb="3" eb="5">
      <t>ケイカイ</t>
    </rPh>
    <rPh sb="11" eb="13">
      <t>ケイカイ</t>
    </rPh>
    <phoneticPr fontId="1"/>
  </si>
  <si>
    <t>攻撃のノックバックにXZ方面(正面)、Y軸(上方向)の二つを用意、それで切り上げ攻撃、切り下げ攻撃などを対応する</t>
    <rPh sb="0" eb="2">
      <t>コウゲキ</t>
    </rPh>
    <rPh sb="12" eb="14">
      <t>ホウメン</t>
    </rPh>
    <rPh sb="15" eb="17">
      <t>ショウメン</t>
    </rPh>
    <rPh sb="20" eb="21">
      <t>ジク</t>
    </rPh>
    <rPh sb="22" eb="25">
      <t>ウエホウコウ</t>
    </rPh>
    <rPh sb="27" eb="28">
      <t>フタ</t>
    </rPh>
    <rPh sb="30" eb="32">
      <t>ヨウイ</t>
    </rPh>
    <rPh sb="36" eb="37">
      <t>キ</t>
    </rPh>
    <rPh sb="38" eb="39">
      <t>ア</t>
    </rPh>
    <rPh sb="40" eb="42">
      <t>コウゲキ</t>
    </rPh>
    <rPh sb="43" eb="44">
      <t>キ</t>
    </rPh>
    <rPh sb="52" eb="54">
      <t>タイオウ</t>
    </rPh>
    <phoneticPr fontId="1"/>
  </si>
  <si>
    <t>攻撃のデータ</t>
    <rPh sb="0" eb="2">
      <t>コウゲキ</t>
    </rPh>
    <phoneticPr fontId="1"/>
  </si>
  <si>
    <t>攻撃力</t>
    <rPh sb="0" eb="3">
      <t>コウゲキリョク</t>
    </rPh>
    <phoneticPr fontId="1"/>
  </si>
  <si>
    <t>ノックバック</t>
    <phoneticPr fontId="1"/>
  </si>
  <si>
    <t>スキル、必殺技の演出を先にする</t>
    <rPh sb="4" eb="7">
      <t>ヒッサツワザ</t>
    </rPh>
    <rPh sb="8" eb="10">
      <t>エンシュツ</t>
    </rPh>
    <rPh sb="11" eb="12">
      <t>サキ</t>
    </rPh>
    <phoneticPr fontId="1"/>
  </si>
  <si>
    <t>HItColのクラスを持たせて</t>
    <rPh sb="11" eb="12">
      <t>モ</t>
    </rPh>
    <phoneticPr fontId="1"/>
  </si>
  <si>
    <t>当たったらPlayerに検知させる</t>
    <rPh sb="0" eb="1">
      <t>ア</t>
    </rPh>
    <rPh sb="12" eb="14">
      <t>ケンチ</t>
    </rPh>
    <phoneticPr fontId="1"/>
  </si>
  <si>
    <t>吹っ飛ばし方の種類</t>
    <rPh sb="0" eb="1">
      <t>フ</t>
    </rPh>
    <rPh sb="2" eb="3">
      <t>ト</t>
    </rPh>
    <rPh sb="5" eb="6">
      <t>カタ</t>
    </rPh>
    <rPh sb="7" eb="9">
      <t>シュルイ</t>
    </rPh>
    <phoneticPr fontId="1"/>
  </si>
  <si>
    <t>それ用のクラスを作る</t>
    <rPh sb="2" eb="3">
      <t>ヨウ</t>
    </rPh>
    <rPh sb="8" eb="9">
      <t>ツク</t>
    </rPh>
    <phoneticPr fontId="1"/>
  </si>
  <si>
    <t>初期装備</t>
    <rPh sb="0" eb="4">
      <t>ショキソウビ</t>
    </rPh>
    <phoneticPr fontId="1"/>
  </si>
  <si>
    <t>攻撃クラスを作る</t>
    <rPh sb="0" eb="2">
      <t>コウゲキ</t>
    </rPh>
    <rPh sb="6" eb="7">
      <t>ツク</t>
    </rPh>
    <phoneticPr fontId="1"/>
  </si>
  <si>
    <t>派生図を作る</t>
    <rPh sb="0" eb="2">
      <t>ハセイ</t>
    </rPh>
    <rPh sb="2" eb="3">
      <t>ズ</t>
    </rPh>
    <rPh sb="4" eb="5">
      <t>ツク</t>
    </rPh>
    <phoneticPr fontId="1"/>
  </si>
  <si>
    <t>地上</t>
    <rPh sb="0" eb="2">
      <t>チジョウ</t>
    </rPh>
    <phoneticPr fontId="1"/>
  </si>
  <si>
    <t>敵から離れるため終了</t>
    <rPh sb="0" eb="1">
      <t>テキ</t>
    </rPh>
    <rPh sb="3" eb="4">
      <t>ハナ</t>
    </rPh>
    <rPh sb="8" eb="10">
      <t>シュウリョウ</t>
    </rPh>
    <phoneticPr fontId="1"/>
  </si>
  <si>
    <t>そばに敵がいない場合、近くの敵に向かって急降下していく</t>
    <rPh sb="3" eb="4">
      <t>テキ</t>
    </rPh>
    <rPh sb="8" eb="10">
      <t>バアイ</t>
    </rPh>
    <rPh sb="11" eb="12">
      <t>チカ</t>
    </rPh>
    <rPh sb="14" eb="15">
      <t>テキ</t>
    </rPh>
    <rPh sb="16" eb="17">
      <t>ム</t>
    </rPh>
    <rPh sb="20" eb="23">
      <t>キュウコウカ</t>
    </rPh>
    <phoneticPr fontId="1"/>
  </si>
  <si>
    <t>それもいなかったらまっすぐ</t>
    <phoneticPr fontId="1"/>
  </si>
  <si>
    <t>HItColとAttackColを作った。AttackColは途中、AttackColを作りつつ、終わったら、Player,Enemyに持たせて初期化させて使う。カプセル型Colliderの勉強や、Boxの当たり判定を使うことを考える</t>
    <rPh sb="17" eb="18">
      <t>ツク</t>
    </rPh>
    <rPh sb="31" eb="33">
      <t>トチュウ</t>
    </rPh>
    <rPh sb="44" eb="45">
      <t>ツク</t>
    </rPh>
    <rPh sb="49" eb="50">
      <t>オ</t>
    </rPh>
    <rPh sb="68" eb="69">
      <t>モ</t>
    </rPh>
    <rPh sb="72" eb="75">
      <t>ショキカ</t>
    </rPh>
    <rPh sb="78" eb="79">
      <t>ツカ</t>
    </rPh>
    <rPh sb="85" eb="86">
      <t>ガタ</t>
    </rPh>
    <rPh sb="95" eb="97">
      <t>ベンキョウ</t>
    </rPh>
    <rPh sb="103" eb="104">
      <t>ア</t>
    </rPh>
    <rPh sb="106" eb="108">
      <t>ハンテイ</t>
    </rPh>
    <rPh sb="109" eb="110">
      <t>ツカ</t>
    </rPh>
    <rPh sb="114" eb="115">
      <t>カンガ</t>
    </rPh>
    <phoneticPr fontId="1"/>
  </si>
  <si>
    <t>ColのUpdateをCollsionManagerでやりたいけど、責務が重すぎるかなって思って、それぞれでやったがいいのか、悩む</t>
    <rPh sb="34" eb="36">
      <t>セキム</t>
    </rPh>
    <rPh sb="37" eb="38">
      <t>オモ</t>
    </rPh>
    <rPh sb="45" eb="46">
      <t>オモ</t>
    </rPh>
    <rPh sb="63" eb="64">
      <t>ナヤ</t>
    </rPh>
    <phoneticPr fontId="1"/>
  </si>
  <si>
    <t>CollsionManagerのUpdateをする、コンボチェーンにいろいろ追加したけどプログラミングのほうでは追加してないからしないといけない、</t>
    <rPh sb="38" eb="40">
      <t>ツイカ</t>
    </rPh>
    <rPh sb="56" eb="58">
      <t>ツイカ</t>
    </rPh>
    <phoneticPr fontId="1"/>
  </si>
  <si>
    <t>それは終わった、次は速度をmapにして、いろいろ修正、追加できるようにしている途中、unorderd_mapでvelをやってて、今CollisionManagerとの</t>
    <rPh sb="3" eb="4">
      <t>オ</t>
    </rPh>
    <rPh sb="8" eb="9">
      <t>ツギ</t>
    </rPh>
    <rPh sb="10" eb="12">
      <t>ソクド</t>
    </rPh>
    <rPh sb="24" eb="26">
      <t>シュウセイ</t>
    </rPh>
    <rPh sb="27" eb="29">
      <t>ツイカ</t>
    </rPh>
    <rPh sb="39" eb="41">
      <t>トチュウ</t>
    </rPh>
    <rPh sb="64" eb="65">
      <t>イマ</t>
    </rPh>
    <phoneticPr fontId="1"/>
  </si>
  <si>
    <t>当たり判定の取り方をもう一度見直しているところ、そこが終わったら、敵が吹っ飛ばせるようになって、って感じ</t>
    <rPh sb="0" eb="1">
      <t>ア</t>
    </rPh>
    <rPh sb="3" eb="5">
      <t>ハンテイ</t>
    </rPh>
    <rPh sb="6" eb="7">
      <t>ト</t>
    </rPh>
    <rPh sb="8" eb="9">
      <t>カタ</t>
    </rPh>
    <rPh sb="12" eb="16">
      <t>イチドミナオ</t>
    </rPh>
    <rPh sb="27" eb="28">
      <t>オ</t>
    </rPh>
    <rPh sb="33" eb="34">
      <t>テキ</t>
    </rPh>
    <rPh sb="35" eb="36">
      <t>フ</t>
    </rPh>
    <rPh sb="37" eb="38">
      <t>ト</t>
    </rPh>
    <rPh sb="50" eb="51">
      <t>カン</t>
    </rPh>
    <phoneticPr fontId="1"/>
  </si>
  <si>
    <t>↑のやり方でやろうとしたけど、無理そうだったので、やめる（プロジェクト分けたので、研究用として後ほど）</t>
    <rPh sb="4" eb="5">
      <t>カタ</t>
    </rPh>
    <rPh sb="15" eb="17">
      <t>ムリ</t>
    </rPh>
    <rPh sb="35" eb="36">
      <t>ワ</t>
    </rPh>
    <rPh sb="41" eb="43">
      <t>ケンキュウ</t>
    </rPh>
    <rPh sb="43" eb="44">
      <t>ヨウ</t>
    </rPh>
    <rPh sb="47" eb="48">
      <t>ノチ</t>
    </rPh>
    <phoneticPr fontId="1"/>
  </si>
  <si>
    <t>敵のOnDamage内で、m_velじゃなくて、knockBackVelに入れて、減衰させる（プレイヤーと同じ感じでする）</t>
    <rPh sb="0" eb="1">
      <t>テキ</t>
    </rPh>
    <rPh sb="10" eb="11">
      <t>ナイ</t>
    </rPh>
    <rPh sb="37" eb="38">
      <t>イ</t>
    </rPh>
    <rPh sb="41" eb="43">
      <t>ゲンスイ</t>
    </rPh>
    <rPh sb="53" eb="54">
      <t>オナ</t>
    </rPh>
    <rPh sb="55" eb="56">
      <t>カン</t>
    </rPh>
    <phoneticPr fontId="1"/>
  </si>
  <si>
    <t>やられ判定がだんだん下方向にいっている→おそらくジャンプ着地後の挙動でm_pos.y = 0にしているせい</t>
    <rPh sb="3" eb="5">
      <t>ハンテイ</t>
    </rPh>
    <rPh sb="10" eb="13">
      <t>シタホウコウ</t>
    </rPh>
    <rPh sb="28" eb="30">
      <t>チャクチ</t>
    </rPh>
    <rPh sb="30" eb="31">
      <t>ゴ</t>
    </rPh>
    <rPh sb="32" eb="34">
      <t>キョドウ</t>
    </rPh>
    <phoneticPr fontId="1"/>
  </si>
  <si>
    <t>攻撃が当たったとき、Playerを動かないようにするorEnemyを動かして、Playerの攻撃を当たるようにする</t>
    <rPh sb="0" eb="2">
      <t>コウゲキ</t>
    </rPh>
    <rPh sb="3" eb="4">
      <t>ア</t>
    </rPh>
    <rPh sb="17" eb="18">
      <t>ウゴ</t>
    </rPh>
    <rPh sb="34" eb="35">
      <t>ウゴ</t>
    </rPh>
    <rPh sb="46" eb="48">
      <t>コウゲキ</t>
    </rPh>
    <rPh sb="49" eb="50">
      <t>ア</t>
    </rPh>
    <phoneticPr fontId="1"/>
  </si>
  <si>
    <t>↑敵側を動かすやり方が高速アクションゲームは多いらしい</t>
    <rPh sb="1" eb="2">
      <t>テキ</t>
    </rPh>
    <rPh sb="2" eb="3">
      <t>ガワ</t>
    </rPh>
    <rPh sb="4" eb="5">
      <t>ウゴ</t>
    </rPh>
    <rPh sb="9" eb="10">
      <t>カタ</t>
    </rPh>
    <rPh sb="11" eb="13">
      <t>コウソク</t>
    </rPh>
    <rPh sb="22" eb="23">
      <t>オオ</t>
    </rPh>
    <phoneticPr fontId="1"/>
  </si>
  <si>
    <t>攻撃判定をすぐに出さないようにする</t>
    <rPh sb="0" eb="2">
      <t>コウゲキ</t>
    </rPh>
    <rPh sb="2" eb="4">
      <t>ハンテイ</t>
    </rPh>
    <rPh sb="8" eb="9">
      <t>ダ</t>
    </rPh>
    <phoneticPr fontId="1"/>
  </si>
  <si>
    <t>敵のknockバック距離はいったんやめる</t>
    <rPh sb="0" eb="1">
      <t>テキ</t>
    </rPh>
    <rPh sb="10" eb="12">
      <t>キョリ</t>
    </rPh>
    <phoneticPr fontId="1"/>
  </si>
  <si>
    <t>攻撃に敵の当たり判定がついじゅうするようになった</t>
    <rPh sb="0" eb="2">
      <t>コウゲキ</t>
    </rPh>
    <rPh sb="3" eb="4">
      <t>テキ</t>
    </rPh>
    <rPh sb="5" eb="6">
      <t>ア</t>
    </rPh>
    <rPh sb="8" eb="10">
      <t>ハンテイ</t>
    </rPh>
    <phoneticPr fontId="1"/>
  </si>
  <si>
    <t>次はcolliderがずれないように、posをずらしたときにm_hitColに0になるまでの上べくとるを足す</t>
    <rPh sb="0" eb="1">
      <t>ツギ</t>
    </rPh>
    <rPh sb="46" eb="47">
      <t>ウエ</t>
    </rPh>
    <rPh sb="52" eb="53">
      <t>タ</t>
    </rPh>
    <phoneticPr fontId="1"/>
  </si>
  <si>
    <t>そもそもm_hitColをm_pos = GetPosにすれば即解決した</t>
    <rPh sb="31" eb="34">
      <t>ソクカイケツ</t>
    </rPh>
    <phoneticPr fontId="1"/>
  </si>
  <si>
    <t>次は、必殺技のシェーダーをする</t>
    <rPh sb="0" eb="1">
      <t>ツギ</t>
    </rPh>
    <rPh sb="3" eb="6">
      <t>ヒッサツワザ</t>
    </rPh>
    <phoneticPr fontId="1"/>
  </si>
  <si>
    <t>マップを追加、マップとの当たり判定(ポリゴンとの当たり判定を終わらせた後)</t>
    <rPh sb="4" eb="6">
      <t>ツイカ</t>
    </rPh>
    <rPh sb="12" eb="13">
      <t>ア</t>
    </rPh>
    <rPh sb="15" eb="17">
      <t>ハンテイ</t>
    </rPh>
    <rPh sb="24" eb="25">
      <t>ア</t>
    </rPh>
    <rPh sb="27" eb="29">
      <t>ハンテイ</t>
    </rPh>
    <rPh sb="30" eb="31">
      <t>オ</t>
    </rPh>
    <rPh sb="35" eb="36">
      <t>アト</t>
    </rPh>
    <phoneticPr fontId="1"/>
  </si>
  <si>
    <t>コライダー2つをもらって当たり判定をしてboolを返すクラスを作る、stageクラスにgethandleでモデルハンドルを取得できるようにする→</t>
    <rPh sb="12" eb="13">
      <t>ア</t>
    </rPh>
    <rPh sb="15" eb="17">
      <t>ハンテイ</t>
    </rPh>
    <rPh sb="25" eb="26">
      <t>カエ</t>
    </rPh>
    <rPh sb="31" eb="32">
      <t>ツク</t>
    </rPh>
    <rPh sb="61" eb="63">
      <t>シュトク</t>
    </rPh>
    <phoneticPr fontId="1"/>
  </si>
  <si>
    <t>もし、当たり判定がpolygonだったら当たり判定をするというのをCollisionManagerで作る</t>
    <rPh sb="3" eb="4">
      <t>ア</t>
    </rPh>
    <rPh sb="6" eb="8">
      <t>ハンテイ</t>
    </rPh>
    <rPh sb="20" eb="21">
      <t>ア</t>
    </rPh>
    <rPh sb="23" eb="25">
      <t>ハンテイ</t>
    </rPh>
    <rPh sb="50" eb="51">
      <t>ツク</t>
    </rPh>
    <phoneticPr fontId="1"/>
  </si>
  <si>
    <t>CollisionCheckerのクラスとFixNextPositionのクラスを作って、それをCollisionManagerに持たせる</t>
    <rPh sb="41" eb="42">
      <t>ツク</t>
    </rPh>
    <rPh sb="65" eb="66">
      <t>モ</t>
    </rPh>
    <phoneticPr fontId="1"/>
  </si>
  <si>
    <t>CollisionChecker食らうを作っている途中、fixedPosClassも同時平行でつくっていかないとこんがらがると思う</t>
    <rPh sb="16" eb="17">
      <t>ク</t>
    </rPh>
    <rPh sb="20" eb="21">
      <t>ツク</t>
    </rPh>
    <rPh sb="25" eb="27">
      <t>トチュウ</t>
    </rPh>
    <rPh sb="42" eb="44">
      <t>ドウジ</t>
    </rPh>
    <rPh sb="44" eb="46">
      <t>ヘイコウ</t>
    </rPh>
    <rPh sb="63" eb="64">
      <t>オモ</t>
    </rPh>
    <phoneticPr fontId="1"/>
  </si>
  <si>
    <t>だいぶ時間かかりそう、今週の日曜までにはおわらせたいなぁぁぁぁっぁ</t>
    <rPh sb="3" eb="5">
      <t>ジカン</t>
    </rPh>
    <rPh sb="11" eb="13">
      <t>コンシュウ</t>
    </rPh>
    <rPh sb="14" eb="16">
      <t>ニチヨウ</t>
    </rPh>
    <phoneticPr fontId="1"/>
  </si>
  <si>
    <t>FixedNextPosのFixNextposSPの途中、続きから</t>
    <rPh sb="26" eb="28">
      <t>トチュウ</t>
    </rPh>
    <rPh sb="29" eb="30">
      <t>ツヅ</t>
    </rPh>
    <phoneticPr fontId="1"/>
  </si>
  <si>
    <t>当たり判定をどこまでやるのか問題はある、それによって、次何をやるか決める</t>
    <rPh sb="0" eb="1">
      <t>ア</t>
    </rPh>
    <rPh sb="3" eb="5">
      <t>ハンテイ</t>
    </rPh>
    <rPh sb="14" eb="16">
      <t>モンダイ</t>
    </rPh>
    <rPh sb="27" eb="29">
      <t>ツギナニ</t>
    </rPh>
    <rPh sb="33" eb="34">
      <t>キ</t>
    </rPh>
    <phoneticPr fontId="1"/>
  </si>
  <si>
    <t>残る課題は当たり判定、スキル、必殺技、ジャスト回避</t>
    <rPh sb="0" eb="1">
      <t>ノコ</t>
    </rPh>
    <rPh sb="2" eb="4">
      <t>カダイ</t>
    </rPh>
    <rPh sb="5" eb="6">
      <t>ア</t>
    </rPh>
    <rPh sb="8" eb="10">
      <t>ハンテイ</t>
    </rPh>
    <rPh sb="15" eb="18">
      <t>ヒッサツワザ</t>
    </rPh>
    <rPh sb="23" eb="25">
      <t>カイヒ</t>
    </rPh>
    <phoneticPr fontId="1"/>
  </si>
  <si>
    <t>敵の当たり判定も変えたいかな</t>
    <rPh sb="0" eb="1">
      <t>テキ</t>
    </rPh>
    <rPh sb="2" eb="3">
      <t>ア</t>
    </rPh>
    <rPh sb="5" eb="7">
      <t>ハンテイ</t>
    </rPh>
    <rPh sb="8" eb="9">
      <t>カ</t>
    </rPh>
    <phoneticPr fontId="1"/>
  </si>
  <si>
    <t>敵の当たり判定変えた後、スキル、必殺技を作る</t>
    <rPh sb="0" eb="1">
      <t>テキ</t>
    </rPh>
    <rPh sb="2" eb="3">
      <t>ア</t>
    </rPh>
    <rPh sb="5" eb="7">
      <t>ハンテイ</t>
    </rPh>
    <rPh sb="7" eb="8">
      <t>カ</t>
    </rPh>
    <rPh sb="10" eb="11">
      <t>アト</t>
    </rPh>
    <rPh sb="16" eb="19">
      <t>ヒッサツワザ</t>
    </rPh>
    <rPh sb="20" eb="21">
      <t>ツク</t>
    </rPh>
    <phoneticPr fontId="1"/>
  </si>
  <si>
    <t>LB押している間player.cppでモデルの追加とかをするLB&amp;技ボタンでスキル</t>
    <rPh sb="2" eb="3">
      <t>オ</t>
    </rPh>
    <rPh sb="7" eb="8">
      <t>アイダ</t>
    </rPh>
    <rPh sb="23" eb="25">
      <t>ツイカ</t>
    </rPh>
    <rPh sb="33" eb="34">
      <t>ワザ</t>
    </rPh>
    <phoneticPr fontId="1"/>
  </si>
  <si>
    <t>raven状態はplayer.cppで書くがplayerStateAttackの時は解除をさせないようにする</t>
    <rPh sb="5" eb="7">
      <t>ジョウタイ</t>
    </rPh>
    <rPh sb="19" eb="20">
      <t>カ</t>
    </rPh>
    <rPh sb="40" eb="41">
      <t>トキ</t>
    </rPh>
    <rPh sb="42" eb="44">
      <t>カイジョ</t>
    </rPh>
    <phoneticPr fontId="1"/>
  </si>
  <si>
    <t>PlayerStateAttackの中でスキルの詳細を書く←管理が面倒だからやっぱり分ける</t>
    <rPh sb="18" eb="19">
      <t>ナカ</t>
    </rPh>
    <rPh sb="24" eb="26">
      <t>ショウサイ</t>
    </rPh>
    <rPh sb="27" eb="28">
      <t>カ</t>
    </rPh>
    <rPh sb="30" eb="32">
      <t>カンリ</t>
    </rPh>
    <rPh sb="33" eb="35">
      <t>メンドウ</t>
    </rPh>
    <rPh sb="42" eb="43">
      <t>ワ</t>
    </rPh>
    <phoneticPr fontId="1"/>
  </si>
  <si>
    <t>↑結局、PlayerStateAttackの中で書いた、また、raven状態はidle,move,run,(Attackの遷移時)にかえる</t>
    <rPh sb="1" eb="3">
      <t>ケッキョク</t>
    </rPh>
    <rPh sb="22" eb="23">
      <t>ナカ</t>
    </rPh>
    <rPh sb="24" eb="25">
      <t>カ</t>
    </rPh>
    <rPh sb="36" eb="38">
      <t>ジョウタイ</t>
    </rPh>
    <rPh sb="61" eb="63">
      <t>センイ</t>
    </rPh>
    <rPh sb="63" eb="64">
      <t>ジ</t>
    </rPh>
    <phoneticPr fontId="1"/>
  </si>
  <si>
    <t>スキルのエフェクト制作</t>
    <rPh sb="9" eb="11">
      <t>セイサク</t>
    </rPh>
    <phoneticPr fontId="1"/>
  </si>
  <si>
    <t>必殺技システム実装</t>
    <rPh sb="0" eb="3">
      <t>ヒッサツワザ</t>
    </rPh>
    <rPh sb="7" eb="9">
      <t>ジッソウ</t>
    </rPh>
    <phoneticPr fontId="1"/>
  </si>
  <si>
    <t>必殺技シェーダー演出実装</t>
    <rPh sb="0" eb="3">
      <t>ヒッサツワザ</t>
    </rPh>
    <rPh sb="8" eb="10">
      <t>エンシュツ</t>
    </rPh>
    <rPh sb="10" eb="12">
      <t>ジッソウ</t>
    </rPh>
    <phoneticPr fontId="1"/>
  </si>
  <si>
    <t>ジャスト回避</t>
    <rPh sb="4" eb="6">
      <t>カイヒ</t>
    </rPh>
    <phoneticPr fontId="1"/>
  </si>
  <si>
    <t>攻撃時の細かい当たり判定の制御</t>
    <rPh sb="0" eb="2">
      <t>コウゲキ</t>
    </rPh>
    <rPh sb="2" eb="3">
      <t>ジ</t>
    </rPh>
    <rPh sb="4" eb="5">
      <t>コマ</t>
    </rPh>
    <rPh sb="7" eb="8">
      <t>ア</t>
    </rPh>
    <rPh sb="10" eb="12">
      <t>ハンテイ</t>
    </rPh>
    <rPh sb="13" eb="15">
      <t>セイギョ</t>
    </rPh>
    <phoneticPr fontId="1"/>
  </si>
  <si>
    <t>空中での攻撃使用制限</t>
    <rPh sb="0" eb="2">
      <t>クウチュウ</t>
    </rPh>
    <rPh sb="4" eb="6">
      <t>コウゲキ</t>
    </rPh>
    <rPh sb="6" eb="8">
      <t>シヨウ</t>
    </rPh>
    <rPh sb="8" eb="10">
      <t>セイゲン</t>
    </rPh>
    <phoneticPr fontId="1"/>
  </si>
  <si>
    <t>ため攻撃実装するか</t>
    <rPh sb="2" eb="4">
      <t>コウゲキ</t>
    </rPh>
    <rPh sb="4" eb="6">
      <t>ジッソウ</t>
    </rPh>
    <phoneticPr fontId="1"/>
  </si>
  <si>
    <t>A</t>
  </si>
  <si>
    <t>剣を持たせる2種(モデル探しも含む)</t>
    <rPh sb="0" eb="1">
      <t>ケン</t>
    </rPh>
    <rPh sb="2" eb="3">
      <t>モ</t>
    </rPh>
    <rPh sb="7" eb="8">
      <t>シュ</t>
    </rPh>
    <rPh sb="12" eb="13">
      <t>サガ</t>
    </rPh>
    <rPh sb="15" eb="16">
      <t>フク</t>
    </rPh>
    <phoneticPr fontId="1"/>
  </si>
  <si>
    <t>鴉状態での追加モデル(モデル探しも含む)</t>
    <rPh sb="0" eb="1">
      <t>カラス</t>
    </rPh>
    <rPh sb="1" eb="3">
      <t>ジョウタイ</t>
    </rPh>
    <rPh sb="5" eb="7">
      <t>ツイカ</t>
    </rPh>
    <phoneticPr fontId="1"/>
  </si>
  <si>
    <t>アニメーション調整</t>
    <rPh sb="7" eb="9">
      <t>チョウセイ</t>
    </rPh>
    <phoneticPr fontId="1"/>
  </si>
  <si>
    <t>モデル、アニメーション</t>
    <phoneticPr fontId="1"/>
  </si>
  <si>
    <t>より詳しい攻撃</t>
    <rPh sb="2" eb="3">
      <t>クワ</t>
    </rPh>
    <rPh sb="5" eb="7">
      <t>コウゲキ</t>
    </rPh>
    <phoneticPr fontId="1"/>
  </si>
  <si>
    <t>2体目作る</t>
    <rPh sb="1" eb="4">
      <t>タイメツク</t>
    </rPh>
    <phoneticPr fontId="1"/>
  </si>
  <si>
    <t>キャラクター</t>
    <phoneticPr fontId="1"/>
  </si>
  <si>
    <t>ヒット時のノックバック</t>
    <rPh sb="3" eb="4">
      <t>ジ</t>
    </rPh>
    <phoneticPr fontId="1"/>
  </si>
  <si>
    <t>死亡判定</t>
    <rPh sb="0" eb="2">
      <t>シボウ</t>
    </rPh>
    <rPh sb="2" eb="4">
      <t>ハンテイ</t>
    </rPh>
    <phoneticPr fontId="1"/>
  </si>
  <si>
    <t>ダメージ処理</t>
    <rPh sb="4" eb="6">
      <t>ショリ</t>
    </rPh>
    <phoneticPr fontId="1"/>
  </si>
  <si>
    <t>タイムスケール</t>
    <phoneticPr fontId="1"/>
  </si>
  <si>
    <t>ヒットストップ</t>
    <phoneticPr fontId="1"/>
  </si>
  <si>
    <t>攻撃時に斜めに傾く奴</t>
    <rPh sb="0" eb="2">
      <t>コウゲキ</t>
    </rPh>
    <rPh sb="2" eb="3">
      <t>ジ</t>
    </rPh>
    <rPh sb="4" eb="5">
      <t>ナナ</t>
    </rPh>
    <rPh sb="7" eb="8">
      <t>カタム</t>
    </rPh>
    <rPh sb="9" eb="10">
      <t>ヤツ</t>
    </rPh>
    <phoneticPr fontId="1"/>
  </si>
  <si>
    <t>攻撃時に少しズームアップするやつ</t>
    <rPh sb="0" eb="3">
      <t>コウゲキジ</t>
    </rPh>
    <rPh sb="4" eb="5">
      <t>スコ</t>
    </rPh>
    <phoneticPr fontId="1"/>
  </si>
  <si>
    <t>なにか演出カメラ</t>
    <rPh sb="3" eb="5">
      <t>エンシュツ</t>
    </rPh>
    <phoneticPr fontId="1"/>
  </si>
  <si>
    <t>ロックオン</t>
    <phoneticPr fontId="1"/>
  </si>
  <si>
    <t>攻撃権のシステム</t>
    <rPh sb="0" eb="3">
      <t>コウゲキケン</t>
    </rPh>
    <phoneticPr fontId="1"/>
  </si>
  <si>
    <t>スポーンシステム</t>
    <phoneticPr fontId="1"/>
  </si>
  <si>
    <t>ステージ制作</t>
    <rPh sb="4" eb="6">
      <t>セイサク</t>
    </rPh>
    <phoneticPr fontId="1"/>
  </si>
  <si>
    <t>エフェクト</t>
    <phoneticPr fontId="1"/>
  </si>
  <si>
    <t>操作説明(コンボ表記、操作ボタン割り当てなど)</t>
    <rPh sb="0" eb="4">
      <t>ソウサセツメイ</t>
    </rPh>
    <rPh sb="8" eb="10">
      <t>ヒョウキ</t>
    </rPh>
    <rPh sb="11" eb="13">
      <t>ソウサ</t>
    </rPh>
    <rPh sb="16" eb="17">
      <t>ワ</t>
    </rPh>
    <rPh sb="18" eb="19">
      <t>ア</t>
    </rPh>
    <phoneticPr fontId="1"/>
  </si>
  <si>
    <t>その他設定で使うやつ</t>
    <rPh sb="2" eb="3">
      <t>タ</t>
    </rPh>
    <rPh sb="3" eb="5">
      <t>セッテイ</t>
    </rPh>
    <rPh sb="6" eb="7">
      <t>ツカ</t>
    </rPh>
    <phoneticPr fontId="1"/>
  </si>
  <si>
    <t>プレイヤーhpなど</t>
    <phoneticPr fontId="1"/>
  </si>
  <si>
    <t>敵が現れるとき、死ぬときのディゾルブ</t>
    <rPh sb="0" eb="1">
      <t>テキ</t>
    </rPh>
    <rPh sb="2" eb="3">
      <t>アラワ</t>
    </rPh>
    <rPh sb="8" eb="9">
      <t>シ</t>
    </rPh>
    <phoneticPr fontId="1"/>
  </si>
  <si>
    <t>技のエフェクト</t>
    <rPh sb="0" eb="1">
      <t>ワザ</t>
    </rPh>
    <phoneticPr fontId="1"/>
  </si>
  <si>
    <t>その他なにかあれば</t>
    <rPh sb="2" eb="3">
      <t>タ</t>
    </rPh>
    <phoneticPr fontId="1"/>
  </si>
  <si>
    <t>回復アイテム</t>
    <rPh sb="0" eb="2">
      <t>カイフク</t>
    </rPh>
    <phoneticPr fontId="1"/>
  </si>
  <si>
    <t>タイトルシーン制作</t>
    <rPh sb="7" eb="9">
      <t>セイサク</t>
    </rPh>
    <phoneticPr fontId="1"/>
  </si>
  <si>
    <t>オプションシーン制作</t>
    <rPh sb="8" eb="10">
      <t>セイサク</t>
    </rPh>
    <phoneticPr fontId="1"/>
  </si>
  <si>
    <t>ステージセレクトシーン制作</t>
    <rPh sb="11" eb="13">
      <t>セイサク</t>
    </rPh>
    <phoneticPr fontId="1"/>
  </si>
  <si>
    <t>リザルトシーン制作</t>
    <rPh sb="7" eb="9">
      <t>セイサク</t>
    </rPh>
    <phoneticPr fontId="1"/>
  </si>
  <si>
    <t>ゲームオーバーシーン制作</t>
    <rPh sb="10" eb="12">
      <t>セイサク</t>
    </rPh>
    <phoneticPr fontId="1"/>
  </si>
  <si>
    <t>チュートリアル制作</t>
    <rPh sb="7" eb="9">
      <t>セイサク</t>
    </rPh>
    <phoneticPr fontId="1"/>
  </si>
  <si>
    <t>カメラシステム</t>
    <phoneticPr fontId="1"/>
  </si>
  <si>
    <t>BGM,SE、ボイスいれ</t>
    <phoneticPr fontId="1"/>
  </si>
  <si>
    <t>ベータ</t>
  </si>
  <si>
    <t>残り日数</t>
    <rPh sb="0" eb="1">
      <t>ノコ</t>
    </rPh>
    <rPh sb="2" eb="4">
      <t>ニッスウ</t>
    </rPh>
    <phoneticPr fontId="1"/>
  </si>
  <si>
    <t>締め切り</t>
    <rPh sb="0" eb="1">
      <t>シ</t>
    </rPh>
    <rPh sb="2" eb="3">
      <t>キ</t>
    </rPh>
    <phoneticPr fontId="1"/>
  </si>
  <si>
    <t>プロト締め切り</t>
    <rPh sb="3" eb="4">
      <t>シ</t>
    </rPh>
    <rPh sb="5" eb="6">
      <t>キ</t>
    </rPh>
    <phoneticPr fontId="1"/>
  </si>
  <si>
    <t>アルファ締め切り</t>
    <rPh sb="4" eb="5">
      <t>シ</t>
    </rPh>
    <rPh sb="6" eb="7">
      <t>キ</t>
    </rPh>
    <phoneticPr fontId="1"/>
  </si>
  <si>
    <t>ベータ締め切り</t>
    <rPh sb="3" eb="4">
      <t>シ</t>
    </rPh>
    <rPh sb="5" eb="6">
      <t>キ</t>
    </rPh>
    <phoneticPr fontId="1"/>
  </si>
  <si>
    <t>1日当たりのコスト</t>
    <rPh sb="1" eb="3">
      <t>ニチア</t>
    </rPh>
    <phoneticPr fontId="1"/>
  </si>
  <si>
    <t>今日はノックバックをする</t>
    <rPh sb="0" eb="2">
      <t>キョウ</t>
    </rPh>
    <phoneticPr fontId="1"/>
  </si>
  <si>
    <t>①背景(赤色に)</t>
    <rPh sb="1" eb="3">
      <t>ハイケイ</t>
    </rPh>
    <rPh sb="4" eb="6">
      <t>アカイロ</t>
    </rPh>
    <phoneticPr fontId="1"/>
  </si>
  <si>
    <t>②エフェクトを描画(白色に)</t>
    <rPh sb="7" eb="9">
      <t>ビョウガ</t>
    </rPh>
    <rPh sb="10" eb="12">
      <t>シロイロ</t>
    </rPh>
    <phoneticPr fontId="1"/>
  </si>
  <si>
    <t>ノックバック終わったので、必殺技の演出を作る</t>
    <rPh sb="6" eb="7">
      <t>オ</t>
    </rPh>
    <rPh sb="13" eb="16">
      <t>ヒッサツワザ</t>
    </rPh>
    <rPh sb="17" eb="19">
      <t>エンシュツ</t>
    </rPh>
    <rPh sb="20" eb="21">
      <t>ツク</t>
    </rPh>
    <phoneticPr fontId="1"/>
  </si>
  <si>
    <t>必殺技のレンダーターゲットを分けて、マップを赤くしたところ、けっこういい感じだから次は剣のエフェクトをとりあえず作って出す</t>
    <rPh sb="0" eb="3">
      <t>ヒッサツワザ</t>
    </rPh>
    <rPh sb="14" eb="15">
      <t>ワ</t>
    </rPh>
    <rPh sb="22" eb="23">
      <t>アカ</t>
    </rPh>
    <rPh sb="36" eb="37">
      <t>カン</t>
    </rPh>
    <rPh sb="41" eb="42">
      <t>ツギ</t>
    </rPh>
    <rPh sb="43" eb="44">
      <t>ケン</t>
    </rPh>
    <rPh sb="56" eb="57">
      <t>ツク</t>
    </rPh>
    <rPh sb="59" eb="60">
      <t>ダ</t>
    </rPh>
    <phoneticPr fontId="1"/>
  </si>
  <si>
    <t>そのあと、血殺の文字を入れて、完成させる、エフェクトは先輩に聞いて一緒に作る</t>
    <rPh sb="5" eb="6">
      <t>チ</t>
    </rPh>
    <rPh sb="6" eb="7">
      <t>コロ</t>
    </rPh>
    <rPh sb="8" eb="10">
      <t>モジ</t>
    </rPh>
    <rPh sb="11" eb="12">
      <t>イ</t>
    </rPh>
    <rPh sb="15" eb="17">
      <t>カンセイ</t>
    </rPh>
    <rPh sb="27" eb="29">
      <t>センパイ</t>
    </rPh>
    <rPh sb="30" eb="31">
      <t>キ</t>
    </rPh>
    <rPh sb="33" eb="35">
      <t>イッショ</t>
    </rPh>
    <rPh sb="36" eb="37">
      <t>ツク</t>
    </rPh>
    <phoneticPr fontId="1"/>
  </si>
  <si>
    <t>作業中</t>
  </si>
  <si>
    <t>被ダメ周りの処理</t>
    <rPh sb="0" eb="1">
      <t>ヒ</t>
    </rPh>
    <rPh sb="3" eb="4">
      <t>マワ</t>
    </rPh>
    <rPh sb="6" eb="8">
      <t>ショリ</t>
    </rPh>
    <phoneticPr fontId="1"/>
  </si>
  <si>
    <t>エネミーマネージャーを作ってそこで管理</t>
    <rPh sb="11" eb="12">
      <t>ツク</t>
    </rPh>
    <rPh sb="17" eb="19">
      <t>カンリ</t>
    </rPh>
    <phoneticPr fontId="1"/>
  </si>
  <si>
    <t>やりたいこと</t>
    <phoneticPr fontId="1"/>
  </si>
  <si>
    <t>シェーダーのエミッションを鴉に適用など</t>
    <rPh sb="13" eb="14">
      <t>カラス</t>
    </rPh>
    <rPh sb="15" eb="17">
      <t>テキヨウ</t>
    </rPh>
    <phoneticPr fontId="1"/>
  </si>
  <si>
    <t>敵の死に方を雑にしているからいずれ修正必須</t>
    <rPh sb="0" eb="1">
      <t>テキ</t>
    </rPh>
    <rPh sb="2" eb="3">
      <t>シ</t>
    </rPh>
    <rPh sb="4" eb="5">
      <t>カタ</t>
    </rPh>
    <rPh sb="6" eb="7">
      <t>ザツ</t>
    </rPh>
    <rPh sb="17" eb="19">
      <t>シュウセイ</t>
    </rPh>
    <rPh sb="19" eb="21">
      <t>ヒッス</t>
    </rPh>
    <phoneticPr fontId="1"/>
  </si>
  <si>
    <t>敵の死に方</t>
    <rPh sb="0" eb="1">
      <t>テキ</t>
    </rPh>
    <rPh sb="2" eb="3">
      <t>シ</t>
    </rPh>
    <rPh sb="4" eb="5">
      <t>カタ</t>
    </rPh>
    <phoneticPr fontId="1"/>
  </si>
  <si>
    <t>吹き飛ぶとき</t>
    <rPh sb="0" eb="1">
      <t>フ</t>
    </rPh>
    <rPh sb="2" eb="3">
      <t>ト</t>
    </rPh>
    <phoneticPr fontId="1"/>
  </si>
  <si>
    <t>ぶっ飛びながら死ぬ</t>
    <rPh sb="2" eb="3">
      <t>ト</t>
    </rPh>
    <rPh sb="7" eb="8">
      <t>シ</t>
    </rPh>
    <phoneticPr fontId="1"/>
  </si>
  <si>
    <t>吹き飛ばないとき</t>
    <rPh sb="0" eb="1">
      <t>フ</t>
    </rPh>
    <rPh sb="2" eb="3">
      <t>ト</t>
    </rPh>
    <phoneticPr fontId="1"/>
  </si>
  <si>
    <t>死亡アニメーションで死ぬ</t>
    <rPh sb="0" eb="2">
      <t>シボウ</t>
    </rPh>
    <rPh sb="10" eb="11">
      <t>シ</t>
    </rPh>
    <phoneticPr fontId="1"/>
  </si>
  <si>
    <t>空中攻撃時</t>
    <rPh sb="0" eb="2">
      <t>クウチュウ</t>
    </rPh>
    <rPh sb="2" eb="5">
      <t>コウゲキジ</t>
    </rPh>
    <phoneticPr fontId="1"/>
  </si>
  <si>
    <t>最後まで食らった後、死ぬ</t>
    <rPh sb="0" eb="2">
      <t>サイゴ</t>
    </rPh>
    <rPh sb="4" eb="5">
      <t>ク</t>
    </rPh>
    <rPh sb="8" eb="9">
      <t>アト</t>
    </rPh>
    <rPh sb="10" eb="11">
      <t>シ</t>
    </rPh>
    <phoneticPr fontId="1"/>
  </si>
  <si>
    <t>カメラ挙動</t>
    <rPh sb="3" eb="5">
      <t>キョドウ</t>
    </rPh>
    <phoneticPr fontId="1"/>
  </si>
  <si>
    <t>ロックオンした時はプレイヤーと敵の中間点をカメラは見続ける</t>
    <rPh sb="7" eb="8">
      <t>トキ</t>
    </rPh>
    <rPh sb="15" eb="16">
      <t>テキ</t>
    </rPh>
    <rPh sb="17" eb="20">
      <t>チュウカンテン</t>
    </rPh>
    <rPh sb="25" eb="27">
      <t>ミツヅ</t>
    </rPh>
    <phoneticPr fontId="1"/>
  </si>
  <si>
    <t>ロックオンしている敵に攻撃がむかうようにする</t>
    <rPh sb="9" eb="10">
      <t>テキ</t>
    </rPh>
    <rPh sb="11" eb="13">
      <t>コウゲキ</t>
    </rPh>
    <phoneticPr fontId="1"/>
  </si>
  <si>
    <t>ロックオンしている敵が死んだら次のやつを探す</t>
    <rPh sb="9" eb="10">
      <t>テキ</t>
    </rPh>
    <rPh sb="11" eb="12">
      <t>シ</t>
    </rPh>
    <rPh sb="15" eb="16">
      <t>ツギ</t>
    </rPh>
    <rPh sb="20" eb="21">
      <t>サガ</t>
    </rPh>
    <phoneticPr fontId="1"/>
  </si>
  <si>
    <t>右スティックの左か右の入力があったら、ロックオンしている敵を変更</t>
    <rPh sb="0" eb="1">
      <t>ミギ</t>
    </rPh>
    <rPh sb="7" eb="8">
      <t>ヒダリ</t>
    </rPh>
    <rPh sb="9" eb="10">
      <t>ミギ</t>
    </rPh>
    <rPh sb="11" eb="13">
      <t>ニュウリョク</t>
    </rPh>
    <rPh sb="28" eb="29">
      <t>テキ</t>
    </rPh>
    <rPh sb="30" eb="32">
      <t>ヘンコウ</t>
    </rPh>
    <phoneticPr fontId="1"/>
  </si>
  <si>
    <t>↑cosΘのやつを大きい順に並び変えてて、変更や、消えたりしたら次のものに変更させる</t>
    <rPh sb="9" eb="10">
      <t>オオ</t>
    </rPh>
    <rPh sb="12" eb="13">
      <t>ジュン</t>
    </rPh>
    <rPh sb="14" eb="15">
      <t>ナラ</t>
    </rPh>
    <rPh sb="16" eb="17">
      <t>カ</t>
    </rPh>
    <rPh sb="21" eb="23">
      <t>ヘンコウ</t>
    </rPh>
    <rPh sb="25" eb="26">
      <t>キ</t>
    </rPh>
    <rPh sb="32" eb="33">
      <t>ツギ</t>
    </rPh>
    <rPh sb="37" eb="39">
      <t>ヘンコウ</t>
    </rPh>
    <phoneticPr fontId="1"/>
  </si>
  <si>
    <t>配列ごと渡してもいい（まだわからんけど）</t>
    <rPh sb="0" eb="2">
      <t>ハイレツ</t>
    </rPh>
    <rPh sb="4" eb="5">
      <t>ワタ</t>
    </rPh>
    <phoneticPr fontId="1"/>
  </si>
  <si>
    <t>攻撃がおそらく単体にしか当たっていない</t>
    <rPh sb="0" eb="2">
      <t>コウゲキ</t>
    </rPh>
    <rPh sb="7" eb="9">
      <t>タンタイ</t>
    </rPh>
    <rPh sb="12" eb="13">
      <t>ア</t>
    </rPh>
    <phoneticPr fontId="1"/>
  </si>
  <si>
    <t>敵について</t>
    <rPh sb="0" eb="1">
      <t>テキ</t>
    </rPh>
    <phoneticPr fontId="1"/>
  </si>
  <si>
    <t>攻撃を2種類にするできれば</t>
    <rPh sb="0" eb="2">
      <t>コウゲキ</t>
    </rPh>
    <rPh sb="4" eb="6">
      <t>シュルイ</t>
    </rPh>
    <phoneticPr fontId="1"/>
  </si>
  <si>
    <t>攻撃の範囲をもっと広くして、攻撃時移動するようにする</t>
    <rPh sb="0" eb="2">
      <t>コウゲキ</t>
    </rPh>
    <rPh sb="3" eb="5">
      <t>ハンイ</t>
    </rPh>
    <rPh sb="9" eb="10">
      <t>ヒロ</t>
    </rPh>
    <rPh sb="14" eb="17">
      <t>コウゲキジ</t>
    </rPh>
    <rPh sb="17" eb="19">
      <t>イドウ</t>
    </rPh>
    <phoneticPr fontId="1"/>
  </si>
  <si>
    <t>攻撃クールタイムの時は、追いかけ続けず、別のステートに移行させる</t>
    <rPh sb="0" eb="2">
      <t>コウゲキ</t>
    </rPh>
    <rPh sb="9" eb="10">
      <t>トキ</t>
    </rPh>
    <rPh sb="12" eb="13">
      <t>オ</t>
    </rPh>
    <rPh sb="16" eb="17">
      <t>ツヅ</t>
    </rPh>
    <rPh sb="20" eb="21">
      <t>ベツ</t>
    </rPh>
    <rPh sb="27" eb="29">
      <t>イコウ</t>
    </rPh>
    <phoneticPr fontId="1"/>
  </si>
  <si>
    <t>上下さがある攻撃の時は地面についたとき、さらに吹っ飛ぶようにする</t>
    <rPh sb="0" eb="2">
      <t>ジョウゲ</t>
    </rPh>
    <rPh sb="6" eb="8">
      <t>コウゲキ</t>
    </rPh>
    <rPh sb="9" eb="10">
      <t>トキ</t>
    </rPh>
    <rPh sb="11" eb="13">
      <t>ジメン</t>
    </rPh>
    <rPh sb="23" eb="24">
      <t>フ</t>
    </rPh>
    <rPh sb="25" eb="26">
      <t>ト</t>
    </rPh>
    <phoneticPr fontId="1"/>
  </si>
  <si>
    <t>プレイヤーについて</t>
    <phoneticPr fontId="1"/>
  </si>
  <si>
    <t>スキル攻撃の後の通常攻撃はもっと早くでるようにしたほうが操作感がいい</t>
    <rPh sb="3" eb="5">
      <t>コウゲキ</t>
    </rPh>
    <rPh sb="6" eb="7">
      <t>アト</t>
    </rPh>
    <rPh sb="8" eb="12">
      <t>ツウジョウコウゲキ</t>
    </rPh>
    <rPh sb="16" eb="17">
      <t>ハヤ</t>
    </rPh>
    <rPh sb="28" eb="31">
      <t>ソウサカン</t>
    </rPh>
    <phoneticPr fontId="1"/>
  </si>
  <si>
    <t>今、ジャスト回避を作っていて、ジャスト回避用のColliderをつくるところ</t>
    <rPh sb="0" eb="1">
      <t>イマ</t>
    </rPh>
    <rPh sb="6" eb="8">
      <t>カイヒ</t>
    </rPh>
    <rPh sb="9" eb="10">
      <t>ツク</t>
    </rPh>
    <rPh sb="19" eb="21">
      <t>カイヒ</t>
    </rPh>
    <rPh sb="21" eb="22">
      <t>ヨウ</t>
    </rPh>
    <phoneticPr fontId="1"/>
  </si>
  <si>
    <t>敵の方向に攻撃が向かうようにする</t>
    <rPh sb="0" eb="1">
      <t>テキ</t>
    </rPh>
    <rPh sb="2" eb="4">
      <t>ホウコウ</t>
    </rPh>
    <rPh sb="5" eb="7">
      <t>コウゲキ</t>
    </rPh>
    <rPh sb="8" eb="9">
      <t>ム</t>
    </rPh>
    <phoneticPr fontId="1"/>
  </si>
  <si>
    <t>必殺技時のタイムスケールが変</t>
    <rPh sb="0" eb="3">
      <t>ヒッサツワザ</t>
    </rPh>
    <rPh sb="3" eb="4">
      <t>ジ</t>
    </rPh>
    <rPh sb="13" eb="14">
      <t>ヘン</t>
    </rPh>
    <phoneticPr fontId="1"/>
  </si>
  <si>
    <t>ジャスト回避の優先順位を下げた</t>
    <rPh sb="4" eb="6">
      <t>カイヒ</t>
    </rPh>
    <rPh sb="7" eb="11">
      <t>ユウセンジュンイ</t>
    </rPh>
    <rPh sb="12" eb="13">
      <t>サ</t>
    </rPh>
    <phoneticPr fontId="1"/>
  </si>
  <si>
    <t>スキル攻撃からの通常攻撃をスムーズになるようにした</t>
    <rPh sb="3" eb="5">
      <t>コウゲキ</t>
    </rPh>
    <rPh sb="8" eb="12">
      <t>ツウジョウコウゲキ</t>
    </rPh>
    <phoneticPr fontId="1"/>
  </si>
  <si>
    <t>空中での攻撃回数を制限しないといけない</t>
    <rPh sb="0" eb="2">
      <t>クウチュウ</t>
    </rPh>
    <rPh sb="4" eb="8">
      <t>コウゲキカイスウ</t>
    </rPh>
    <rPh sb="9" eb="11">
      <t>セイゲン</t>
    </rPh>
    <phoneticPr fontId="1"/>
  </si>
  <si>
    <t>終わらせた。次は、いよいよプレイヤーの攻撃方向、内部ロックオン関連かなー</t>
    <rPh sb="0" eb="1">
      <t>オ</t>
    </rPh>
    <rPh sb="6" eb="7">
      <t>ツギ</t>
    </rPh>
    <rPh sb="19" eb="21">
      <t>コウゲキ</t>
    </rPh>
    <rPh sb="21" eb="23">
      <t>ホウコウ</t>
    </rPh>
    <rPh sb="24" eb="26">
      <t>ナイブ</t>
    </rPh>
    <rPh sb="31" eb="33">
      <t>カンレン</t>
    </rPh>
    <phoneticPr fontId="1"/>
  </si>
  <si>
    <t>それか必殺技、スキルのシステム</t>
    <rPh sb="3" eb="6">
      <t>ヒッサツワザ</t>
    </rPh>
    <phoneticPr fontId="1"/>
  </si>
  <si>
    <t>ドロップ攻撃の終わり際に攻撃判定をつけて、ドロップ攻撃後、周囲は吹き飛ぶようにする</t>
    <rPh sb="4" eb="6">
      <t>コウゲキ</t>
    </rPh>
    <rPh sb="7" eb="11">
      <t>オワリギワ</t>
    </rPh>
    <rPh sb="12" eb="16">
      <t>コウゲキハンテイ</t>
    </rPh>
    <rPh sb="25" eb="28">
      <t>コウゲキゴ</t>
    </rPh>
    <rPh sb="29" eb="31">
      <t>シュウイ</t>
    </rPh>
    <rPh sb="32" eb="33">
      <t>フ</t>
    </rPh>
    <rPh sb="34" eb="35">
      <t>ト</t>
    </rPh>
    <phoneticPr fontId="1"/>
  </si>
  <si>
    <t>そのあと、プレイヤーの攻撃方向、内部ロックオン関連をやる</t>
    <rPh sb="11" eb="15">
      <t>コウゲキホウコウ</t>
    </rPh>
    <rPh sb="16" eb="18">
      <t>ナイブ</t>
    </rPh>
    <rPh sb="23" eb="25">
      <t>カンレン</t>
    </rPh>
    <phoneticPr fontId="1"/>
  </si>
  <si>
    <t>ドロップ攻撃の吹き飛ばし終わった、敵が吹き飛ばした後、すぐに動くより、吹っ飛んだ後、起き上がる時間、寝ている時間があったほうがいいと思うからそうしたい</t>
    <rPh sb="4" eb="6">
      <t>コウゲキ</t>
    </rPh>
    <rPh sb="7" eb="8">
      <t>フ</t>
    </rPh>
    <rPh sb="9" eb="10">
      <t>ト</t>
    </rPh>
    <rPh sb="12" eb="13">
      <t>オ</t>
    </rPh>
    <rPh sb="17" eb="18">
      <t>テキ</t>
    </rPh>
    <rPh sb="19" eb="20">
      <t>フ</t>
    </rPh>
    <rPh sb="21" eb="22">
      <t>ト</t>
    </rPh>
    <rPh sb="25" eb="26">
      <t>アト</t>
    </rPh>
    <rPh sb="30" eb="31">
      <t>ウゴ</t>
    </rPh>
    <rPh sb="35" eb="36">
      <t>フ</t>
    </rPh>
    <rPh sb="37" eb="38">
      <t>ト</t>
    </rPh>
    <rPh sb="40" eb="41">
      <t>アト</t>
    </rPh>
    <rPh sb="42" eb="43">
      <t>オ</t>
    </rPh>
    <rPh sb="44" eb="45">
      <t>ア</t>
    </rPh>
    <rPh sb="47" eb="49">
      <t>ジカン</t>
    </rPh>
    <rPh sb="50" eb="51">
      <t>ネ</t>
    </rPh>
    <rPh sb="54" eb="56">
      <t>ジカン</t>
    </rPh>
    <rPh sb="66" eb="67">
      <t>オモ</t>
    </rPh>
    <phoneticPr fontId="1"/>
  </si>
  <si>
    <t>でも、それは後回しでいいと思う</t>
    <rPh sb="6" eb="8">
      <t>アトマワ</t>
    </rPh>
    <rPh sb="13" eb="14">
      <t>オモ</t>
    </rPh>
    <phoneticPr fontId="1"/>
  </si>
  <si>
    <t>次は、ステージをもとにちゃんとwave制にする</t>
    <rPh sb="0" eb="1">
      <t>ツギ</t>
    </rPh>
    <rPh sb="19" eb="20">
      <t>セイ</t>
    </rPh>
    <phoneticPr fontId="1"/>
  </si>
  <si>
    <t>そのあと、攻撃の操作改善をやる</t>
    <rPh sb="5" eb="7">
      <t>コウゲキ</t>
    </rPh>
    <rPh sb="8" eb="12">
      <t>ソウサカイゼン</t>
    </rPh>
    <phoneticPr fontId="1"/>
  </si>
  <si>
    <t>血殺シーン、やっぱり敵も黒く描画したいかも、シェーダーで。（敵が目立ってあんまりな感じがした）</t>
    <rPh sb="0" eb="1">
      <t>チ</t>
    </rPh>
    <rPh sb="1" eb="2">
      <t>サツ</t>
    </rPh>
    <rPh sb="10" eb="11">
      <t>テキ</t>
    </rPh>
    <rPh sb="12" eb="13">
      <t>クロ</t>
    </rPh>
    <rPh sb="14" eb="16">
      <t>ビョウガ</t>
    </rPh>
    <rPh sb="30" eb="31">
      <t>テキ</t>
    </rPh>
    <rPh sb="32" eb="34">
      <t>メダ</t>
    </rPh>
    <rPh sb="41" eb="42">
      <t>カン</t>
    </rPh>
    <phoneticPr fontId="1"/>
  </si>
  <si>
    <t>スカイボックス</t>
    <phoneticPr fontId="1"/>
  </si>
  <si>
    <t>インターン</t>
    <phoneticPr fontId="1"/>
  </si>
  <si>
    <t>be-ta最終が27日</t>
    <rPh sb="5" eb="7">
      <t>サイシュウ</t>
    </rPh>
    <rPh sb="10" eb="11">
      <t>ニチ</t>
    </rPh>
    <phoneticPr fontId="1"/>
  </si>
  <si>
    <t>敵が死んだときの配列の消去などをしていないので、旗を立ててそれをする</t>
    <rPh sb="0" eb="1">
      <t>テキ</t>
    </rPh>
    <rPh sb="2" eb="3">
      <t>シ</t>
    </rPh>
    <rPh sb="8" eb="10">
      <t>ハイレツ</t>
    </rPh>
    <rPh sb="11" eb="13">
      <t>ショウキョ</t>
    </rPh>
    <rPh sb="24" eb="25">
      <t>ハタ</t>
    </rPh>
    <rPh sb="26" eb="27">
      <t>タ</t>
    </rPh>
    <phoneticPr fontId="1"/>
  </si>
  <si>
    <t>地上5段完成している</t>
    <rPh sb="0" eb="2">
      <t>チジョウ</t>
    </rPh>
    <rPh sb="3" eb="4">
      <t>ダン</t>
    </rPh>
    <rPh sb="4" eb="6">
      <t>カンセイ</t>
    </rPh>
    <phoneticPr fontId="1"/>
  </si>
  <si>
    <t>x,y</t>
    <phoneticPr fontId="1"/>
  </si>
  <si>
    <t>xx,y</t>
    <phoneticPr fontId="1"/>
  </si>
  <si>
    <t>xxxy</t>
    <phoneticPr fontId="1"/>
  </si>
  <si>
    <t>切り上げ攻撃3種</t>
    <rPh sb="0" eb="1">
      <t>キ</t>
    </rPh>
    <rPh sb="7" eb="8">
      <t>シュ</t>
    </rPh>
    <phoneticPr fontId="1"/>
  </si>
  <si>
    <t>スキル3種</t>
    <rPh sb="4" eb="5">
      <t>シュ</t>
    </rPh>
    <phoneticPr fontId="1"/>
  </si>
  <si>
    <t>マスト</t>
    <phoneticPr fontId="1"/>
  </si>
  <si>
    <t>できたらうれしい</t>
    <phoneticPr fontId="1"/>
  </si>
  <si>
    <t>全部担当</t>
    <rPh sb="0" eb="2">
      <t>ゼンブ</t>
    </rPh>
    <rPh sb="2" eb="4">
      <t>タントウ</t>
    </rPh>
    <phoneticPr fontId="1"/>
  </si>
  <si>
    <t>たいき</t>
    <phoneticPr fontId="1"/>
  </si>
  <si>
    <t>歩き</t>
    <rPh sb="0" eb="1">
      <t>アル</t>
    </rPh>
    <phoneticPr fontId="1"/>
  </si>
  <si>
    <t>はしり</t>
    <phoneticPr fontId="1"/>
  </si>
  <si>
    <t>かいひ</t>
    <phoneticPr fontId="1"/>
  </si>
  <si>
    <t>バック回避</t>
    <rPh sb="3" eb="5">
      <t>カイヒ</t>
    </rPh>
    <phoneticPr fontId="1"/>
  </si>
  <si>
    <t>らっか</t>
    <phoneticPr fontId="1"/>
  </si>
  <si>
    <t>移動系</t>
    <rPh sb="0" eb="2">
      <t>イドウ</t>
    </rPh>
    <rPh sb="2" eb="3">
      <t>ケイ</t>
    </rPh>
    <phoneticPr fontId="1"/>
  </si>
  <si>
    <t>→</t>
    <phoneticPr fontId="1"/>
  </si>
  <si>
    <t>攻撃1</t>
    <rPh sb="0" eb="2">
      <t>コウゲキ</t>
    </rPh>
    <phoneticPr fontId="1"/>
  </si>
  <si>
    <t>コンボ</t>
    <phoneticPr fontId="1"/>
  </si>
  <si>
    <t>空中攻撃</t>
    <rPh sb="0" eb="2">
      <t>クウチュウ</t>
    </rPh>
    <rPh sb="2" eb="4">
      <t>コウゲキ</t>
    </rPh>
    <phoneticPr fontId="1"/>
  </si>
  <si>
    <t>弱4種</t>
    <rPh sb="0" eb="1">
      <t>ジャク</t>
    </rPh>
    <rPh sb="2" eb="3">
      <t>シュ</t>
    </rPh>
    <phoneticPr fontId="1"/>
  </si>
  <si>
    <t>強1種</t>
    <rPh sb="0" eb="1">
      <t>キョウ</t>
    </rPh>
    <rPh sb="2" eb="3">
      <t>シュ</t>
    </rPh>
    <phoneticPr fontId="1"/>
  </si>
  <si>
    <t>地上強攻撃</t>
    <rPh sb="0" eb="2">
      <t>チジョウ</t>
    </rPh>
    <rPh sb="2" eb="3">
      <t>キョウ</t>
    </rPh>
    <rPh sb="3" eb="5">
      <t>コウゲキ</t>
    </rPh>
    <phoneticPr fontId="1"/>
  </si>
  <si>
    <t>切り上げ攻撃</t>
    <rPh sb="0" eb="1">
      <t>キ</t>
    </rPh>
    <phoneticPr fontId="1"/>
  </si>
  <si>
    <t>モデル切り替えてアニメーションする仕組みを作る</t>
    <rPh sb="3" eb="4">
      <t>キ</t>
    </rPh>
    <rPh sb="5" eb="6">
      <t>カ</t>
    </rPh>
    <rPh sb="17" eb="19">
      <t>シク</t>
    </rPh>
    <rPh sb="21" eb="22">
      <t>ツク</t>
    </rPh>
    <phoneticPr fontId="1"/>
  </si>
  <si>
    <t>ウルトの当たり判定、ステートを作る、そこでのみ確殺が起こるようにする</t>
    <rPh sb="4" eb="5">
      <t>ア</t>
    </rPh>
    <rPh sb="7" eb="9">
      <t>ハンテイ</t>
    </rPh>
    <rPh sb="15" eb="16">
      <t>ツク</t>
    </rPh>
    <rPh sb="23" eb="25">
      <t>カクサツ</t>
    </rPh>
    <rPh sb="26" eb="27">
      <t>オ</t>
    </rPh>
    <phoneticPr fontId="1"/>
  </si>
  <si>
    <t>そのあと、攻撃の操作改善orアニメーション切り替え時のモデル切り替えの仕組みを作る</t>
    <rPh sb="5" eb="7">
      <t>コウゲキ</t>
    </rPh>
    <rPh sb="8" eb="12">
      <t>ソウサカイゼン</t>
    </rPh>
    <rPh sb="21" eb="22">
      <t>キ</t>
    </rPh>
    <rPh sb="23" eb="24">
      <t>カ</t>
    </rPh>
    <rPh sb="25" eb="26">
      <t>ジ</t>
    </rPh>
    <rPh sb="30" eb="31">
      <t>キ</t>
    </rPh>
    <rPh sb="32" eb="33">
      <t>カ</t>
    </rPh>
    <rPh sb="35" eb="37">
      <t>シク</t>
    </rPh>
    <rPh sb="39" eb="40">
      <t>ツク</t>
    </rPh>
    <phoneticPr fontId="1"/>
  </si>
  <si>
    <t>先にプロトを完成させてから、攻撃操作改善などをする</t>
    <rPh sb="0" eb="1">
      <t>サキ</t>
    </rPh>
    <rPh sb="6" eb="8">
      <t>カンセイ</t>
    </rPh>
    <rPh sb="14" eb="16">
      <t>コウゲキ</t>
    </rPh>
    <rPh sb="16" eb="18">
      <t>ソウサ</t>
    </rPh>
    <rPh sb="18" eb="20">
      <t>カイゼン</t>
    </rPh>
    <phoneticPr fontId="1"/>
  </si>
  <si>
    <t>次はプレイヤーの被弾の仕組みを作った後、プレイヤーのhpなどを表示して、、っていう風にする</t>
    <rPh sb="0" eb="1">
      <t>ツギ</t>
    </rPh>
    <rPh sb="8" eb="10">
      <t>ヒダン</t>
    </rPh>
    <rPh sb="11" eb="13">
      <t>シク</t>
    </rPh>
    <rPh sb="15" eb="16">
      <t>ツク</t>
    </rPh>
    <rPh sb="18" eb="19">
      <t>アト</t>
    </rPh>
    <rPh sb="31" eb="33">
      <t>ヒョウジ</t>
    </rPh>
    <rPh sb="41" eb="42">
      <t>フウ</t>
    </rPh>
    <phoneticPr fontId="1"/>
  </si>
  <si>
    <t>被弾を作った、今、プレイヤーが死ぬステートを作ってる</t>
    <rPh sb="0" eb="2">
      <t>ヒダン</t>
    </rPh>
    <rPh sb="3" eb="4">
      <t>ツク</t>
    </rPh>
    <rPh sb="7" eb="8">
      <t>イマ</t>
    </rPh>
    <rPh sb="15" eb="16">
      <t>シ</t>
    </rPh>
    <rPh sb="22" eb="23">
      <t>ツク</t>
    </rPh>
    <phoneticPr fontId="1"/>
  </si>
  <si>
    <t>それが終わったらプロとほぼ終わり</t>
    <rPh sb="3" eb="4">
      <t>オ</t>
    </rPh>
    <rPh sb="13" eb="14">
      <t>オ</t>
    </rPh>
    <phoneticPr fontId="1"/>
  </si>
  <si>
    <t>基本的なプロトは完成</t>
    <rPh sb="0" eb="3">
      <t>キホンテキ</t>
    </rPh>
    <rPh sb="8" eb="10">
      <t>カンセイ</t>
    </rPh>
    <phoneticPr fontId="1"/>
  </si>
  <si>
    <t>不安要素は、残り時間と、アニメーション</t>
    <rPh sb="0" eb="4">
      <t>フアンヨウソ</t>
    </rPh>
    <rPh sb="6" eb="7">
      <t>ノコ</t>
    </rPh>
    <rPh sb="8" eb="10">
      <t>ジカン</t>
    </rPh>
    <phoneticPr fontId="1"/>
  </si>
  <si>
    <t>次やることは攻撃の改善か、攻撃の際にモデルを切り替えること</t>
    <rPh sb="0" eb="1">
      <t>ツギ</t>
    </rPh>
    <rPh sb="6" eb="8">
      <t>コウゲキ</t>
    </rPh>
    <rPh sb="9" eb="11">
      <t>カイゼン</t>
    </rPh>
    <rPh sb="13" eb="15">
      <t>コウゲキ</t>
    </rPh>
    <rPh sb="16" eb="17">
      <t>サイ</t>
    </rPh>
    <rPh sb="22" eb="23">
      <t>キ</t>
    </rPh>
    <rPh sb="24" eb="25">
      <t>カ</t>
    </rPh>
    <phoneticPr fontId="1"/>
  </si>
  <si>
    <t>スキル、ウルトゲージ周り</t>
    <rPh sb="10" eb="11">
      <t>マワ</t>
    </rPh>
    <phoneticPr fontId="1"/>
  </si>
  <si>
    <t>ロックオンカメラ切り替え、死亡時の自動切換え</t>
    <rPh sb="8" eb="9">
      <t>キ</t>
    </rPh>
    <rPh sb="10" eb="11">
      <t>カ</t>
    </rPh>
    <rPh sb="13" eb="16">
      <t>シボウジ</t>
    </rPh>
    <rPh sb="17" eb="19">
      <t>ジドウ</t>
    </rPh>
    <rPh sb="19" eb="21">
      <t>キリカ</t>
    </rPh>
    <phoneticPr fontId="1"/>
  </si>
  <si>
    <t>ジャンプ時のカメラの改善終わり、</t>
    <rPh sb="4" eb="5">
      <t>ジ</t>
    </rPh>
    <rPh sb="10" eb="12">
      <t>カイゼン</t>
    </rPh>
    <rPh sb="12" eb="13">
      <t>オ</t>
    </rPh>
    <phoneticPr fontId="1"/>
  </si>
  <si>
    <t>敵が空中で死ぬの変だし、攻撃をした敵の空中-&gt;地面のノックバックが変</t>
    <rPh sb="0" eb="1">
      <t>テキ</t>
    </rPh>
    <rPh sb="2" eb="4">
      <t>クウチュウ</t>
    </rPh>
    <rPh sb="5" eb="6">
      <t>シ</t>
    </rPh>
    <rPh sb="8" eb="9">
      <t>ヘン</t>
    </rPh>
    <rPh sb="12" eb="14">
      <t>コウゲキ</t>
    </rPh>
    <rPh sb="17" eb="18">
      <t>テキ</t>
    </rPh>
    <rPh sb="19" eb="21">
      <t>クウチュウ</t>
    </rPh>
    <rPh sb="23" eb="25">
      <t>ジメン</t>
    </rPh>
    <rPh sb="33" eb="34">
      <t>ヘン</t>
    </rPh>
    <phoneticPr fontId="1"/>
  </si>
  <si>
    <t>敵が吹っ飛ばされた後は、しばらく動けない状態にしたい</t>
    <rPh sb="0" eb="1">
      <t>テキ</t>
    </rPh>
    <rPh sb="2" eb="3">
      <t>フ</t>
    </rPh>
    <rPh sb="4" eb="5">
      <t>ト</t>
    </rPh>
    <rPh sb="9" eb="10">
      <t>アト</t>
    </rPh>
    <rPh sb="16" eb="17">
      <t>ウゴ</t>
    </rPh>
    <rPh sb="20" eb="22">
      <t>ジョウタイ</t>
    </rPh>
    <phoneticPr fontId="1"/>
  </si>
  <si>
    <t>次やることは、攻撃の操作感改善のための、ロックオンシステムの改善</t>
    <rPh sb="0" eb="1">
      <t>ツギ</t>
    </rPh>
    <rPh sb="7" eb="9">
      <t>コウゲキ</t>
    </rPh>
    <rPh sb="10" eb="13">
      <t>ソウサカン</t>
    </rPh>
    <rPh sb="13" eb="15">
      <t>カイゼン</t>
    </rPh>
    <rPh sb="30" eb="32">
      <t>カイゼン</t>
    </rPh>
    <phoneticPr fontId="1"/>
  </si>
  <si>
    <t>ロックオンの切り替えはできるようになった。</t>
    <rPh sb="6" eb="7">
      <t>キ</t>
    </rPh>
    <rPh sb="8" eb="9">
      <t>カ</t>
    </rPh>
    <phoneticPr fontId="1"/>
  </si>
  <si>
    <t>次は、ロックオンしている敵が死んだとき、自動でターゲットが切り替わる仕組み</t>
    <rPh sb="0" eb="1">
      <t>ツギ</t>
    </rPh>
    <rPh sb="12" eb="13">
      <t>テキ</t>
    </rPh>
    <rPh sb="14" eb="15">
      <t>シ</t>
    </rPh>
    <rPh sb="20" eb="22">
      <t>ジドウ</t>
    </rPh>
    <rPh sb="29" eb="30">
      <t>キ</t>
    </rPh>
    <rPh sb="31" eb="32">
      <t>カ</t>
    </rPh>
    <rPh sb="34" eb="36">
      <t>シク</t>
    </rPh>
    <phoneticPr fontId="1"/>
  </si>
  <si>
    <t>終わったので、ターゲットしている敵に向かって攻撃する仕組みを作る</t>
    <rPh sb="0" eb="1">
      <t>オ</t>
    </rPh>
    <rPh sb="16" eb="17">
      <t>テキ</t>
    </rPh>
    <rPh sb="18" eb="19">
      <t>ム</t>
    </rPh>
    <rPh sb="22" eb="24">
      <t>コウゲキ</t>
    </rPh>
    <rPh sb="26" eb="28">
      <t>シク</t>
    </rPh>
    <rPh sb="30" eb="31">
      <t>ツク</t>
    </rPh>
    <phoneticPr fontId="1"/>
  </si>
  <si>
    <t>ロックオンの時のターゲットもプレイヤーカメラ同様にプレイヤーの高さに応じて、割合を決めて変えるようにする</t>
    <rPh sb="6" eb="7">
      <t>トキ</t>
    </rPh>
    <rPh sb="22" eb="24">
      <t>ドウヨウ</t>
    </rPh>
    <rPh sb="31" eb="32">
      <t>タカ</t>
    </rPh>
    <rPh sb="34" eb="35">
      <t>オウ</t>
    </rPh>
    <rPh sb="38" eb="40">
      <t>ワリアイ</t>
    </rPh>
    <rPh sb="41" eb="42">
      <t>キ</t>
    </rPh>
    <rPh sb="44" eb="45">
      <t>カ</t>
    </rPh>
    <phoneticPr fontId="1"/>
  </si>
  <si>
    <t>ロックオンしていないとき、の内部的なターゲットについて</t>
    <rPh sb="14" eb="17">
      <t>ナイブテキ</t>
    </rPh>
    <phoneticPr fontId="1"/>
  </si>
  <si>
    <t>内部ロックオンの基盤は完成→現在は、攻撃したら内部ロックオンの設定を完了</t>
    <rPh sb="0" eb="2">
      <t>ナイブ</t>
    </rPh>
    <rPh sb="8" eb="10">
      <t>キバン</t>
    </rPh>
    <rPh sb="11" eb="13">
      <t>カンセイ</t>
    </rPh>
    <rPh sb="14" eb="16">
      <t>ゲンザイ</t>
    </rPh>
    <rPh sb="18" eb="20">
      <t>コウゲキ</t>
    </rPh>
    <rPh sb="23" eb="25">
      <t>ナイブ</t>
    </rPh>
    <rPh sb="31" eb="33">
      <t>セッテイ</t>
    </rPh>
    <rPh sb="34" eb="36">
      <t>カンリョウ</t>
    </rPh>
    <phoneticPr fontId="1"/>
  </si>
  <si>
    <t>次は、攻撃の時に入力があったら、その方向に敵がいたら内部ターゲットを切り替える、いなかったらそのまま</t>
    <rPh sb="0" eb="1">
      <t>ツギ</t>
    </rPh>
    <rPh sb="3" eb="5">
      <t>コウゲキ</t>
    </rPh>
    <rPh sb="6" eb="7">
      <t>トキ</t>
    </rPh>
    <rPh sb="8" eb="10">
      <t>ニュウリョク</t>
    </rPh>
    <rPh sb="18" eb="20">
      <t>ホウコウ</t>
    </rPh>
    <rPh sb="21" eb="22">
      <t>テキ</t>
    </rPh>
    <rPh sb="26" eb="28">
      <t>ナイブ</t>
    </rPh>
    <rPh sb="34" eb="35">
      <t>キ</t>
    </rPh>
    <rPh sb="36" eb="37">
      <t>カ</t>
    </rPh>
    <phoneticPr fontId="1"/>
  </si>
  <si>
    <t>また、内部ターゲットがいなかったらその敵を探す仕組みがあってもいい</t>
    <rPh sb="3" eb="5">
      <t>ナイブ</t>
    </rPh>
    <rPh sb="19" eb="20">
      <t>テキ</t>
    </rPh>
    <rPh sb="21" eb="22">
      <t>サガ</t>
    </rPh>
    <rPh sb="23" eb="25">
      <t>シク</t>
    </rPh>
    <phoneticPr fontId="1"/>
  </si>
  <si>
    <t>攻撃が当たったタイミングで新しいカメラ(攻撃中にカッコいい角度のするカメラ)に切り替えて、右スティックの入力があったら、PlayerCameraに戻すs</t>
    <rPh sb="0" eb="2">
      <t>コウゲキ</t>
    </rPh>
    <rPh sb="3" eb="4">
      <t>ア</t>
    </rPh>
    <rPh sb="13" eb="14">
      <t>アタラ</t>
    </rPh>
    <rPh sb="20" eb="23">
      <t>コウゲキチュウ</t>
    </rPh>
    <rPh sb="29" eb="31">
      <t>カクド</t>
    </rPh>
    <rPh sb="39" eb="40">
      <t>キ</t>
    </rPh>
    <rPh sb="41" eb="42">
      <t>カ</t>
    </rPh>
    <rPh sb="45" eb="46">
      <t>ミギ</t>
    </rPh>
    <rPh sb="52" eb="54">
      <t>ニュウリョク</t>
    </rPh>
    <rPh sb="73" eb="74">
      <t>モド</t>
    </rPh>
    <phoneticPr fontId="1"/>
  </si>
  <si>
    <t>PlayerStateAttackでgamesceneの関数を呼び出す-&gt;入力方向に敵がいたら内部ターゲットをきりかえる</t>
    <rPh sb="28" eb="30">
      <t>カンスウ</t>
    </rPh>
    <rPh sb="31" eb="32">
      <t>ヨ</t>
    </rPh>
    <rPh sb="33" eb="34">
      <t>ダ</t>
    </rPh>
    <rPh sb="37" eb="41">
      <t>ニュウリョクホウコウ</t>
    </rPh>
    <rPh sb="42" eb="43">
      <t>テキ</t>
    </rPh>
    <rPh sb="47" eb="49">
      <t>ナイブ</t>
    </rPh>
    <phoneticPr fontId="1"/>
  </si>
  <si>
    <t>内部ロックオンの仕組み終わった！すべて終わったと思う</t>
    <rPh sb="0" eb="2">
      <t>ナイブ</t>
    </rPh>
    <rPh sb="8" eb="10">
      <t>シク</t>
    </rPh>
    <rPh sb="11" eb="12">
      <t>オ</t>
    </rPh>
    <rPh sb="19" eb="20">
      <t>オ</t>
    </rPh>
    <rPh sb="24" eb="25">
      <t>オモ</t>
    </rPh>
    <phoneticPr fontId="1"/>
  </si>
  <si>
    <t>後は、内部ロックオンした時にカッコいいカメラに行くように自然とカメラの位置を変える（攻撃が当たったタイミングで）</t>
    <rPh sb="0" eb="1">
      <t>アト</t>
    </rPh>
    <rPh sb="3" eb="5">
      <t>ナイブ</t>
    </rPh>
    <rPh sb="12" eb="13">
      <t>トキ</t>
    </rPh>
    <rPh sb="23" eb="24">
      <t>イ</t>
    </rPh>
    <rPh sb="28" eb="30">
      <t>シゼン</t>
    </rPh>
    <rPh sb="35" eb="37">
      <t>イチ</t>
    </rPh>
    <rPh sb="38" eb="39">
      <t>カ</t>
    </rPh>
    <rPh sb="42" eb="44">
      <t>コウゲキ</t>
    </rPh>
    <rPh sb="45" eb="46">
      <t>ア</t>
    </rPh>
    <phoneticPr fontId="1"/>
  </si>
  <si>
    <t>自然と変えるやつは、その左右の切り替えが変だからよくわからない</t>
    <rPh sb="0" eb="2">
      <t>シゼン</t>
    </rPh>
    <rPh sb="3" eb="4">
      <t>カ</t>
    </rPh>
    <rPh sb="12" eb="14">
      <t>サユウ</t>
    </rPh>
    <rPh sb="15" eb="16">
      <t>キ</t>
    </rPh>
    <rPh sb="17" eb="18">
      <t>カ</t>
    </rPh>
    <rPh sb="20" eb="21">
      <t>ヘン</t>
    </rPh>
    <phoneticPr fontId="1"/>
  </si>
  <si>
    <t>今から、ロックオンした時のカメラの注視点の位置を割合にする</t>
    <rPh sb="0" eb="1">
      <t>イマ</t>
    </rPh>
    <rPh sb="11" eb="12">
      <t>トキ</t>
    </rPh>
    <rPh sb="17" eb="20">
      <t>チュウシテン</t>
    </rPh>
    <rPh sb="21" eb="23">
      <t>イチ</t>
    </rPh>
    <rPh sb="24" eb="26">
      <t>ワリアイ</t>
    </rPh>
    <phoneticPr fontId="1"/>
  </si>
  <si>
    <t>なんかあんまりうまくいかなかった、もっと研究が必要(血殺の時の角度について)</t>
    <rPh sb="20" eb="22">
      <t>ケンキュウ</t>
    </rPh>
    <rPh sb="23" eb="25">
      <t>ヒツヨウ</t>
    </rPh>
    <rPh sb="26" eb="27">
      <t>チ</t>
    </rPh>
    <rPh sb="27" eb="28">
      <t>サツ</t>
    </rPh>
    <rPh sb="29" eb="30">
      <t>トキ</t>
    </rPh>
    <rPh sb="31" eb="33">
      <t>カクド</t>
    </rPh>
    <phoneticPr fontId="1"/>
  </si>
  <si>
    <t>これで基本的にやりたいことは終わった</t>
    <rPh sb="3" eb="6">
      <t>キホンテキ</t>
    </rPh>
    <rPh sb="14" eb="15">
      <t>オ</t>
    </rPh>
    <phoneticPr fontId="1"/>
  </si>
  <si>
    <t>次は、カプセルコライダーとかボックスコライダーを足す</t>
    <rPh sb="0" eb="1">
      <t>ツギ</t>
    </rPh>
    <rPh sb="24" eb="25">
      <t>タ</t>
    </rPh>
    <phoneticPr fontId="1"/>
  </si>
  <si>
    <t>orモデル切り替えや、例キャストで地面との当たり判定を常にとるなど</t>
    <rPh sb="5" eb="6">
      <t>キ</t>
    </rPh>
    <rPh sb="7" eb="8">
      <t>カ</t>
    </rPh>
    <rPh sb="11" eb="12">
      <t>レイ</t>
    </rPh>
    <rPh sb="17" eb="19">
      <t>ジメン</t>
    </rPh>
    <rPh sb="21" eb="22">
      <t>ア</t>
    </rPh>
    <rPh sb="24" eb="26">
      <t>ハンテイ</t>
    </rPh>
    <rPh sb="27" eb="28">
      <t>ツネ</t>
    </rPh>
    <phoneticPr fontId="1"/>
  </si>
  <si>
    <t>敵の吹っ飛んだ後、ダウン状態にするようにした</t>
    <rPh sb="0" eb="1">
      <t>テキ</t>
    </rPh>
    <rPh sb="2" eb="3">
      <t>フ</t>
    </rPh>
    <rPh sb="4" eb="5">
      <t>ト</t>
    </rPh>
    <rPh sb="7" eb="8">
      <t>アト</t>
    </rPh>
    <rPh sb="12" eb="14">
      <t>ジョウタイ</t>
    </rPh>
    <phoneticPr fontId="1"/>
  </si>
  <si>
    <t>次は、カプセルコライダーorレイキャストで地面との当たり判定をとる、血殺のシェーダーのどれか</t>
    <rPh sb="0" eb="1">
      <t>ツギ</t>
    </rPh>
    <rPh sb="21" eb="23">
      <t>ジメン</t>
    </rPh>
    <rPh sb="25" eb="26">
      <t>ア</t>
    </rPh>
    <rPh sb="28" eb="30">
      <t>ハンテイ</t>
    </rPh>
    <rPh sb="34" eb="35">
      <t>チ</t>
    </rPh>
    <rPh sb="35" eb="36">
      <t>サツ</t>
    </rPh>
    <phoneticPr fontId="1"/>
  </si>
  <si>
    <t>レイキャストかな</t>
    <phoneticPr fontId="1"/>
  </si>
  <si>
    <t>そのあとシェーダー</t>
    <phoneticPr fontId="1"/>
  </si>
  <si>
    <t>レイキャスト終了、カプセルコライダーのdxLibのほうは慣れたからそれやってもいい</t>
    <rPh sb="6" eb="8">
      <t>シュウリョウ</t>
    </rPh>
    <rPh sb="28" eb="29">
      <t>ナ</t>
    </rPh>
    <phoneticPr fontId="1"/>
  </si>
  <si>
    <t>もしくは、シェーダー</t>
    <phoneticPr fontId="1"/>
  </si>
  <si>
    <t>まずはステージ制作のリメイクをする</t>
    <rPh sb="7" eb="9">
      <t>セイサク</t>
    </rPh>
    <phoneticPr fontId="1"/>
  </si>
  <si>
    <t>階段（段差）や、斜めの床、高台を追加した。なぜか、カメラ周りの処理や、壁付近でジャンプした時どうなっているのかがわからない</t>
    <rPh sb="0" eb="2">
      <t>カイダン</t>
    </rPh>
    <rPh sb="3" eb="5">
      <t>ダンサ</t>
    </rPh>
    <rPh sb="8" eb="9">
      <t>ナナ</t>
    </rPh>
    <rPh sb="11" eb="12">
      <t>ユカ</t>
    </rPh>
    <rPh sb="13" eb="15">
      <t>タカダイ</t>
    </rPh>
    <rPh sb="16" eb="18">
      <t>ツイカ</t>
    </rPh>
    <rPh sb="28" eb="29">
      <t>マワ</t>
    </rPh>
    <rPh sb="31" eb="33">
      <t>ショリ</t>
    </rPh>
    <rPh sb="35" eb="38">
      <t>カベフキン</t>
    </rPh>
    <rPh sb="45" eb="46">
      <t>トキ</t>
    </rPh>
    <phoneticPr fontId="1"/>
  </si>
  <si>
    <t>その辺をする、一旦聞いて、無理そうだったらシェーダーとかをする</t>
    <rPh sb="2" eb="3">
      <t>ヘン</t>
    </rPh>
    <rPh sb="7" eb="10">
      <t>イッタンキ</t>
    </rPh>
    <rPh sb="13" eb="15">
      <t>ムリ</t>
    </rPh>
    <phoneticPr fontId="1"/>
  </si>
  <si>
    <t>プレイヤーのモデル切り替えの仕組みと、ポリゴンとの当たり判定を同時進行で進めている</t>
    <rPh sb="9" eb="10">
      <t>キ</t>
    </rPh>
    <rPh sb="11" eb="12">
      <t>カ</t>
    </rPh>
    <rPh sb="14" eb="16">
      <t>シク</t>
    </rPh>
    <rPh sb="25" eb="26">
      <t>ア</t>
    </rPh>
    <rPh sb="28" eb="30">
      <t>ハンテイ</t>
    </rPh>
    <rPh sb="31" eb="35">
      <t>ドウジシンコウ</t>
    </rPh>
    <rPh sb="36" eb="37">
      <t>スス</t>
    </rPh>
    <phoneticPr fontId="1"/>
  </si>
  <si>
    <t>先にk2用にアルファを進めることにした</t>
    <rPh sb="0" eb="1">
      <t>サキ</t>
    </rPh>
    <rPh sb="4" eb="5">
      <t>ヨウ</t>
    </rPh>
    <rPh sb="11" eb="12">
      <t>スス</t>
    </rPh>
    <phoneticPr fontId="1"/>
  </si>
  <si>
    <t>そのあと、↑のプレイヤーのモデル切り替えの仕組みとポリゴンとの当たり判定をしようかなと思っている</t>
    <rPh sb="16" eb="17">
      <t>キ</t>
    </rPh>
    <rPh sb="18" eb="19">
      <t>カ</t>
    </rPh>
    <rPh sb="21" eb="23">
      <t>シク</t>
    </rPh>
    <rPh sb="31" eb="32">
      <t>ア</t>
    </rPh>
    <rPh sb="34" eb="36">
      <t>ハンテイ</t>
    </rPh>
    <rPh sb="43" eb="44">
      <t>オモ</t>
    </rPh>
    <phoneticPr fontId="1"/>
  </si>
  <si>
    <t>アルファの次にすること</t>
    <rPh sb="5" eb="6">
      <t>ツギ</t>
    </rPh>
    <phoneticPr fontId="1"/>
  </si>
  <si>
    <t>waveごとにプレイヤーの動ける範囲を制限する</t>
    <rPh sb="13" eb="14">
      <t>ウゴ</t>
    </rPh>
    <rPh sb="16" eb="18">
      <t>ハンイ</t>
    </rPh>
    <rPh sb="19" eb="21">
      <t>セイゲン</t>
    </rPh>
    <phoneticPr fontId="1"/>
  </si>
  <si>
    <t>そのあとは、コンボノードや、操作Uiを追加する</t>
    <rPh sb="14" eb="16">
      <t>ソウサ</t>
    </rPh>
    <rPh sb="19" eb="21">
      <t>ツイカ</t>
    </rPh>
    <phoneticPr fontId="1"/>
  </si>
  <si>
    <t>正直、あんまり思いついていない→先輩に都度きく</t>
    <rPh sb="0" eb="2">
      <t>ショウジキ</t>
    </rPh>
    <rPh sb="7" eb="8">
      <t>オモ</t>
    </rPh>
    <rPh sb="16" eb="18">
      <t>センパイ</t>
    </rPh>
    <rPh sb="19" eb="21">
      <t>ツド</t>
    </rPh>
    <phoneticPr fontId="1"/>
  </si>
  <si>
    <t>24日までの10日間、アルファを進めるという認識でいい</t>
    <rPh sb="2" eb="3">
      <t>ニチ</t>
    </rPh>
    <rPh sb="8" eb="10">
      <t>ニチカン</t>
    </rPh>
    <rPh sb="16" eb="17">
      <t>スス</t>
    </rPh>
    <rPh sb="22" eb="24">
      <t>ニンシキ</t>
    </rPh>
    <phoneticPr fontId="1"/>
  </si>
  <si>
    <t>モデルの分離が意外といけそう</t>
    <rPh sb="4" eb="6">
      <t>ブンリ</t>
    </rPh>
    <rPh sb="7" eb="9">
      <t>イガイ</t>
    </rPh>
    <phoneticPr fontId="1"/>
  </si>
  <si>
    <t>モデルのそこからの子フレームをすべて取得して、</t>
    <rPh sb="9" eb="10">
      <t>コ</t>
    </rPh>
    <rPh sb="18" eb="20">
      <t>シュトク</t>
    </rPh>
    <phoneticPr fontId="1"/>
  </si>
  <si>
    <t>行列でスケールなどをゼロにする</t>
    <rPh sb="0" eb="2">
      <t>ギョウレツ</t>
    </rPh>
    <phoneticPr fontId="1"/>
  </si>
  <si>
    <t>そしたらないように見える</t>
    <rPh sb="9" eb="10">
      <t>ミ</t>
    </rPh>
    <phoneticPr fontId="1"/>
  </si>
  <si>
    <t>そこに、新しくもう1つのモデルを用意して、それを飛ばすことで、分離しているように見せれる</t>
    <rPh sb="4" eb="5">
      <t>アタラ</t>
    </rPh>
    <rPh sb="16" eb="18">
      <t>ヨウイ</t>
    </rPh>
    <rPh sb="24" eb="25">
      <t>ト</t>
    </rPh>
    <rPh sb="31" eb="33">
      <t>ブンリ</t>
    </rPh>
    <rPh sb="40" eb="41">
      <t>ミ</t>
    </rPh>
    <phoneticPr fontId="1"/>
  </si>
  <si>
    <t>モデルの分離方法を川野先生に教わった</t>
    <rPh sb="4" eb="8">
      <t>ブンリホウホウ</t>
    </rPh>
    <rPh sb="9" eb="10">
      <t>カワ</t>
    </rPh>
    <rPh sb="10" eb="11">
      <t>ノ</t>
    </rPh>
    <rPh sb="11" eb="13">
      <t>センセイ</t>
    </rPh>
    <rPh sb="14" eb="15">
      <t>オソ</t>
    </rPh>
    <phoneticPr fontId="1"/>
  </si>
  <si>
    <t>やることステージをちゃんと作る(れお先輩のステージを参考にする)</t>
    <rPh sb="13" eb="14">
      <t>ツク</t>
    </rPh>
    <rPh sb="18" eb="20">
      <t>センパイ</t>
    </rPh>
    <rPh sb="26" eb="28">
      <t>サンコウ</t>
    </rPh>
    <phoneticPr fontId="1"/>
  </si>
  <si>
    <t>playerの移動制限をした後、ヒットストップ、カメラシェイクを作る</t>
    <rPh sb="7" eb="11">
      <t>イドウセイゲン</t>
    </rPh>
    <rPh sb="14" eb="15">
      <t>アト</t>
    </rPh>
    <rPh sb="32" eb="33">
      <t>ツク</t>
    </rPh>
    <phoneticPr fontId="1"/>
  </si>
  <si>
    <t>そのあと、しっかりとしたステージを作る</t>
    <rPh sb="17" eb="18">
      <t>ツク</t>
    </rPh>
    <phoneticPr fontId="1"/>
  </si>
  <si>
    <t>移動制限、あとは数値をいじるだけ、次はヒットストップとカメラシェイクをする</t>
    <rPh sb="0" eb="4">
      <t>イドウセイゲン</t>
    </rPh>
    <rPh sb="8" eb="10">
      <t>スウチ</t>
    </rPh>
    <rPh sb="17" eb="18">
      <t>ツギ</t>
    </rPh>
    <phoneticPr fontId="1"/>
  </si>
  <si>
    <t>移動制限終了、アニメーション、ヒットストップ、カメラシェイクに入る</t>
    <rPh sb="0" eb="4">
      <t>イドウセイゲン</t>
    </rPh>
    <rPh sb="4" eb="6">
      <t>シュウリョウ</t>
    </rPh>
    <rPh sb="31" eb="32">
      <t>ハイ</t>
    </rPh>
    <phoneticPr fontId="1"/>
  </si>
  <si>
    <t>モーションによるモデルの切り替えいい感じ</t>
    <rPh sb="12" eb="13">
      <t>キ</t>
    </rPh>
    <rPh sb="14" eb="15">
      <t>カ</t>
    </rPh>
    <rPh sb="18" eb="19">
      <t>カン</t>
    </rPh>
    <phoneticPr fontId="1"/>
  </si>
  <si>
    <t>続いて、ヒットストップをする</t>
    <rPh sb="0" eb="1">
      <t>ツヅ</t>
    </rPh>
    <phoneticPr fontId="1"/>
  </si>
  <si>
    <t>orエフェクトを作るorシェーダー、ステージ制作</t>
    <rPh sb="8" eb="9">
      <t>ツク</t>
    </rPh>
    <rPh sb="22" eb="24">
      <t>セイサク</t>
    </rPh>
    <phoneticPr fontId="1"/>
  </si>
  <si>
    <t>ヒットストップ→あとはアニメーションクラスに所有者のタイムスケールを持ってきて、かけてあげる</t>
    <rPh sb="22" eb="25">
      <t>ショユウシャ</t>
    </rPh>
    <rPh sb="34" eb="35">
      <t>モ</t>
    </rPh>
    <phoneticPr fontId="1"/>
  </si>
  <si>
    <t>ColUpdateで初期化してる</t>
    <rPh sb="10" eb="13">
      <t>ショキカ</t>
    </rPh>
    <phoneticPr fontId="1"/>
  </si>
  <si>
    <t>エフェクトがなんかあまりうまく表示されないが、一旦これでいく</t>
    <rPh sb="15" eb="17">
      <t>ヒョウジ</t>
    </rPh>
    <rPh sb="23" eb="25">
      <t>イッタン</t>
    </rPh>
    <phoneticPr fontId="1"/>
  </si>
  <si>
    <t>川野先生に解決してもらう</t>
    <rPh sb="0" eb="4">
      <t>カワノセンセイ</t>
    </rPh>
    <rPh sb="5" eb="7">
      <t>カイケツ</t>
    </rPh>
    <phoneticPr fontId="1"/>
  </si>
  <si>
    <t>ステージの制作をする</t>
    <rPh sb="5" eb="7">
      <t>セイサク</t>
    </rPh>
    <phoneticPr fontId="1"/>
  </si>
  <si>
    <t>一旦見た目を作ったので、大きさの確認をする</t>
    <rPh sb="0" eb="2">
      <t>イッタン</t>
    </rPh>
    <rPh sb="2" eb="3">
      <t>ミ</t>
    </rPh>
    <rPh sb="4" eb="5">
      <t>メ</t>
    </rPh>
    <rPh sb="6" eb="7">
      <t>ツク</t>
    </rPh>
    <rPh sb="12" eb="13">
      <t>オオ</t>
    </rPh>
    <rPh sb="16" eb="18">
      <t>カクニン</t>
    </rPh>
    <phoneticPr fontId="1"/>
  </si>
  <si>
    <t>大きさの確認終了</t>
    <rPh sb="0" eb="1">
      <t>オオ</t>
    </rPh>
    <rPh sb="4" eb="8">
      <t>カクニンシュウリョウ</t>
    </rPh>
    <phoneticPr fontId="1"/>
  </si>
  <si>
    <t>見た目の整理終わり</t>
    <rPh sb="0" eb="1">
      <t>ミ</t>
    </rPh>
    <rPh sb="2" eb="3">
      <t>メ</t>
    </rPh>
    <rPh sb="4" eb="6">
      <t>セイリ</t>
    </rPh>
    <rPh sb="6" eb="7">
      <t>オ</t>
    </rPh>
    <phoneticPr fontId="1"/>
  </si>
  <si>
    <t>元の作業に戻る</t>
    <rPh sb="0" eb="1">
      <t>モト</t>
    </rPh>
    <rPh sb="2" eb="4">
      <t>サギョウ</t>
    </rPh>
    <rPh sb="5" eb="6">
      <t>モド</t>
    </rPh>
    <phoneticPr fontId="1"/>
  </si>
  <si>
    <t>次はカメラシェイク、orrカメラが変なので、修正</t>
    <rPh sb="0" eb="1">
      <t>ツギ</t>
    </rPh>
    <rPh sb="17" eb="18">
      <t>ヘン</t>
    </rPh>
    <rPh sb="22" eb="24">
      <t>シュウセイ</t>
    </rPh>
    <phoneticPr fontId="1"/>
  </si>
  <si>
    <t>orシェーダー</t>
    <phoneticPr fontId="1"/>
  </si>
  <si>
    <t>タイトルシーンのあん</t>
    <phoneticPr fontId="1"/>
  </si>
  <si>
    <t>タイトルがまずぱっと出てきて、プレイヤーがけって、正しい位置にずらして剣をとりだす</t>
    <phoneticPr fontId="1"/>
  </si>
  <si>
    <t>リザルトシーン</t>
    <phoneticPr fontId="1"/>
  </si>
  <si>
    <t>スコア型</t>
    <rPh sb="3" eb="4">
      <t>ガタ</t>
    </rPh>
    <phoneticPr fontId="1"/>
  </si>
  <si>
    <t>aって出てきた後、剣で切ってSをだす</t>
    <rPh sb="3" eb="4">
      <t>デ</t>
    </rPh>
    <rPh sb="7" eb="8">
      <t>アト</t>
    </rPh>
    <rPh sb="9" eb="10">
      <t>ケン</t>
    </rPh>
    <rPh sb="11" eb="12">
      <t>キ</t>
    </rPh>
    <phoneticPr fontId="1"/>
  </si>
  <si>
    <t>その際、ブレンダーで作ったモデルでばらばらにする表現をする</t>
    <rPh sb="2" eb="3">
      <t>サイ</t>
    </rPh>
    <rPh sb="10" eb="11">
      <t>ツク</t>
    </rPh>
    <rPh sb="24" eb="26">
      <t>ヒョウゲン</t>
    </rPh>
    <phoneticPr fontId="1"/>
  </si>
  <si>
    <t>非同期ロードをする</t>
    <rPh sb="0" eb="3">
      <t>ヒドウキ</t>
    </rPh>
    <phoneticPr fontId="1"/>
  </si>
  <si>
    <t>そのあと、タイトルシーンなどを作り始める</t>
    <rPh sb="15" eb="16">
      <t>ツク</t>
    </rPh>
    <rPh sb="17" eb="18">
      <t>ハジ</t>
    </rPh>
    <phoneticPr fontId="1"/>
  </si>
  <si>
    <t>タイトルがシェーダーででてくる→プレイヤーがおりてくる→文字をけってずらす</t>
    <rPh sb="28" eb="30">
      <t>モジ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</si>
</sst>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00"/>
  </numFmts>
  <fonts count="8">
    <font>
      <sz val="11"/>
      <color theme="1"/>
      <name val="Yu Gothic"/>
      <family val="2"/>
      <scheme val="minor"/>
    </font>
    <font>
      <sz val="6"/>
      <name val="Yu Gothic"/>
      <family val="3"/>
      <charset val="128"/>
      <scheme val="minor"/>
    </font>
    <font>
      <b/>
      <sz val="11"/>
      <color theme="1"/>
      <name val="Yu Gothic"/>
      <family val="3"/>
      <charset val="128"/>
      <scheme val="minor"/>
    </font>
    <font>
      <sz val="11"/>
      <color rgb="FFFF0000"/>
      <name val="Yu Gothic"/>
      <family val="2"/>
      <scheme val="minor"/>
    </font>
    <font>
      <b/>
      <sz val="11"/>
      <color theme="0"/>
      <name val="Yu Gothic"/>
      <family val="3"/>
      <charset val="128"/>
      <scheme val="minor"/>
    </font>
    <font>
      <sz val="11"/>
      <color theme="1"/>
      <name val="Yu Gothic"/>
      <family val="2"/>
      <scheme val="minor"/>
    </font>
    <font>
      <sz val="11"/>
      <color theme="5" tint="0.59999389629810485"/>
      <name val="Yu Gothic"/>
      <family val="2"/>
      <scheme val="minor"/>
    </font>
    <font>
      <sz val="11"/>
      <color theme="0"/>
      <name val="Yu Gothic"/>
      <family val="2"/>
      <scheme val="minor"/>
    </font>
  </fonts>
  <fills count="2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7"/>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0"/>
        <bgColor indexed="64"/>
      </patternFill>
    </fill>
    <fill>
      <patternFill patternType="solid">
        <fgColor rgb="FFC198E0"/>
        <bgColor indexed="64"/>
      </patternFill>
    </fill>
    <fill>
      <patternFill patternType="solid">
        <fgColor theme="4" tint="-0.499984740745262"/>
        <bgColor indexed="64"/>
      </patternFill>
    </fill>
    <fill>
      <patternFill patternType="solid">
        <fgColor rgb="FF00FFCC"/>
        <bgColor indexed="64"/>
      </patternFill>
    </fill>
    <fill>
      <patternFill patternType="solid">
        <fgColor rgb="FF00FF00"/>
        <bgColor indexed="64"/>
      </patternFill>
    </fill>
    <fill>
      <patternFill patternType="solid">
        <fgColor rgb="FFCC6600"/>
        <bgColor indexed="64"/>
      </patternFill>
    </fill>
    <fill>
      <patternFill patternType="solid">
        <fgColor rgb="FF33CCFF"/>
        <bgColor indexed="64"/>
      </patternFill>
    </fill>
    <fill>
      <patternFill patternType="solid">
        <fgColor rgb="FFFF99CC"/>
        <bgColor indexed="64"/>
      </patternFill>
    </fill>
    <fill>
      <patternFill patternType="solid">
        <fgColor rgb="FF9933FF"/>
        <bgColor indexed="64"/>
      </patternFill>
    </fill>
    <fill>
      <patternFill patternType="solid">
        <fgColor rgb="FFFFFFCC"/>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002060"/>
        <bgColor indexed="64"/>
      </patternFill>
    </fill>
    <fill>
      <patternFill patternType="solid">
        <fgColor theme="0" tint="-0.249977111117893"/>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5" fillId="0" borderId="0" applyFont="0" applyFill="0" applyBorder="0" applyAlignment="0" applyProtection="0">
      <alignment vertical="center"/>
    </xf>
  </cellStyleXfs>
  <cellXfs count="55">
    <xf numFmtId="0" fontId="0" fillId="0" borderId="0" xfId="0"/>
    <xf numFmtId="56" fontId="0" fillId="0" borderId="0" xfId="0" applyNumberFormat="1"/>
    <xf numFmtId="176" fontId="0" fillId="0" borderId="0" xfId="0" applyNumberFormat="1"/>
    <xf numFmtId="177" fontId="0" fillId="0" borderId="0" xfId="0" applyNumberFormat="1"/>
    <xf numFmtId="0" fontId="0" fillId="5" borderId="1" xfId="0" applyFill="1" applyBorder="1"/>
    <xf numFmtId="0" fontId="0" fillId="7" borderId="1" xfId="0" applyFill="1" applyBorder="1"/>
    <xf numFmtId="0" fontId="0" fillId="6" borderId="1" xfId="0" applyFill="1" applyBorder="1"/>
    <xf numFmtId="0" fontId="0" fillId="8" borderId="1" xfId="0" applyFill="1" applyBorder="1"/>
    <xf numFmtId="0" fontId="0" fillId="9" borderId="1" xfId="0" applyFill="1" applyBorder="1"/>
    <xf numFmtId="0" fontId="0" fillId="4" borderId="1" xfId="0" applyFill="1" applyBorder="1"/>
    <xf numFmtId="0" fontId="0" fillId="10" borderId="2" xfId="0" applyFill="1" applyBorder="1"/>
    <xf numFmtId="0" fontId="0" fillId="0" borderId="2" xfId="0" applyBorder="1"/>
    <xf numFmtId="0" fontId="3" fillId="4" borderId="2" xfId="0" applyFont="1" applyFill="1" applyBorder="1"/>
    <xf numFmtId="0" fontId="0" fillId="11" borderId="2" xfId="0" applyFill="1" applyBorder="1"/>
    <xf numFmtId="0" fontId="4" fillId="12" borderId="2" xfId="0" applyFont="1" applyFill="1" applyBorder="1"/>
    <xf numFmtId="0" fontId="4" fillId="12" borderId="2" xfId="0" applyFont="1" applyFill="1" applyBorder="1" applyAlignment="1">
      <alignment horizontal="center" vertical="center"/>
    </xf>
    <xf numFmtId="0" fontId="0" fillId="10" borderId="2" xfId="0" applyFill="1" applyBorder="1" applyAlignment="1">
      <alignment horizontal="center" vertical="center"/>
    </xf>
    <xf numFmtId="0" fontId="0" fillId="13" borderId="2" xfId="0" applyFill="1" applyBorder="1"/>
    <xf numFmtId="0" fontId="0" fillId="14" borderId="2" xfId="0" applyFill="1" applyBorder="1"/>
    <xf numFmtId="0" fontId="0" fillId="7" borderId="2" xfId="0" applyFill="1" applyBorder="1"/>
    <xf numFmtId="0" fontId="0" fillId="15" borderId="2" xfId="0" applyFill="1" applyBorder="1"/>
    <xf numFmtId="0" fontId="0" fillId="17" borderId="2" xfId="0" applyFill="1" applyBorder="1"/>
    <xf numFmtId="0" fontId="0" fillId="18" borderId="2" xfId="0" applyFill="1" applyBorder="1"/>
    <xf numFmtId="0" fontId="0" fillId="19" borderId="2" xfId="0" applyFill="1" applyBorder="1"/>
    <xf numFmtId="56" fontId="0" fillId="0" borderId="2" xfId="0" applyNumberFormat="1" applyBorder="1"/>
    <xf numFmtId="0" fontId="2" fillId="10" borderId="2" xfId="0" applyFont="1" applyFill="1" applyBorder="1" applyAlignment="1">
      <alignment horizontal="center" vertical="center"/>
    </xf>
    <xf numFmtId="0" fontId="2" fillId="20" borderId="2" xfId="0" applyFont="1" applyFill="1" applyBorder="1"/>
    <xf numFmtId="0" fontId="2" fillId="21" borderId="2" xfId="0" applyFont="1" applyFill="1" applyBorder="1"/>
    <xf numFmtId="0" fontId="2" fillId="16" borderId="2" xfId="0" applyFont="1" applyFill="1" applyBorder="1"/>
    <xf numFmtId="0" fontId="0" fillId="10" borderId="2" xfId="1" applyNumberFormat="1" applyFont="1" applyFill="1" applyBorder="1" applyAlignment="1"/>
    <xf numFmtId="0" fontId="0" fillId="3" borderId="2" xfId="0" applyFill="1" applyBorder="1"/>
    <xf numFmtId="0" fontId="0" fillId="2" borderId="2" xfId="0" applyFill="1" applyBorder="1"/>
    <xf numFmtId="0" fontId="0" fillId="10" borderId="0" xfId="0" applyFill="1"/>
    <xf numFmtId="0" fontId="6" fillId="8" borderId="2" xfId="0" applyFont="1" applyFill="1" applyBorder="1"/>
    <xf numFmtId="0" fontId="0" fillId="22" borderId="2" xfId="0" applyFill="1" applyBorder="1"/>
    <xf numFmtId="0" fontId="0" fillId="3" borderId="0" xfId="0" applyFill="1"/>
    <xf numFmtId="0" fontId="0" fillId="22" borderId="0" xfId="0" applyFill="1"/>
    <xf numFmtId="0" fontId="0" fillId="16" borderId="2" xfId="0" applyFill="1" applyBorder="1"/>
    <xf numFmtId="0" fontId="0" fillId="23" borderId="2" xfId="0" applyFill="1" applyBorder="1"/>
    <xf numFmtId="0" fontId="0" fillId="24" borderId="0" xfId="0" applyFill="1"/>
    <xf numFmtId="0" fontId="0" fillId="25" borderId="0" xfId="0"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26" borderId="2" xfId="0" applyFill="1" applyBorder="1"/>
    <xf numFmtId="14" fontId="0" fillId="10" borderId="2" xfId="0" applyNumberFormat="1" applyFill="1" applyBorder="1"/>
    <xf numFmtId="56" fontId="0" fillId="10" borderId="2" xfId="0" applyNumberFormat="1" applyFill="1" applyBorder="1"/>
    <xf numFmtId="0" fontId="7" fillId="27" borderId="2" xfId="0" applyFont="1" applyFill="1" applyBorder="1"/>
    <xf numFmtId="0" fontId="0" fillId="27" borderId="0" xfId="0" applyFill="1"/>
    <xf numFmtId="0" fontId="0" fillId="28" borderId="0" xfId="0" applyFill="1"/>
  </cellXfs>
  <cellStyles count="2">
    <cellStyle name="パーセント" xfId="1" builtinId="5"/>
    <cellStyle name="標準" xfId="0" builtinId="0"/>
  </cellStyles>
  <dxfs count="0"/>
  <tableStyles count="0" defaultTableStyle="TableStyleMedium2" defaultPivotStyle="PivotStyleLight16"/>
  <colors>
    <mruColors>
      <color rgb="FF33CCFF"/>
      <color rgb="FF99FF33"/>
      <color rgb="FFFFFFCC"/>
      <color rgb="FF9933FF"/>
      <color rgb="FFFF3300"/>
      <color rgb="FFCC9900"/>
      <color rgb="FFFF99CC"/>
      <color rgb="FF0099CC"/>
      <color rgb="FFCC6600"/>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152400</xdr:colOff>
      <xdr:row>26</xdr:row>
      <xdr:rowOff>209550</xdr:rowOff>
    </xdr:from>
    <xdr:to>
      <xdr:col>5</xdr:col>
      <xdr:colOff>104775</xdr:colOff>
      <xdr:row>29</xdr:row>
      <xdr:rowOff>38100</xdr:rowOff>
    </xdr:to>
    <xdr:sp macro="" textlink="">
      <xdr:nvSpPr>
        <xdr:cNvPr id="2" name="正方形/長方形 1">
          <a:extLst>
            <a:ext uri="{FF2B5EF4-FFF2-40B4-BE49-F238E27FC236}">
              <a16:creationId xmlns:a16="http://schemas.microsoft.com/office/drawing/2014/main" id="{21069168-72E0-17F6-5F38-A981ABEB9152}"/>
            </a:ext>
          </a:extLst>
        </xdr:cNvPr>
        <xdr:cNvSpPr/>
      </xdr:nvSpPr>
      <xdr:spPr>
        <a:xfrm>
          <a:off x="762000" y="6400800"/>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地上</a:t>
          </a:r>
          <a:r>
            <a:rPr kumimoji="1" lang="en-US" altLang="ja-JP" sz="1100"/>
            <a:t>1</a:t>
          </a:r>
          <a:endParaRPr kumimoji="1" lang="ja-JP" altLang="en-US" sz="1100"/>
        </a:p>
      </xdr:txBody>
    </xdr:sp>
    <xdr:clientData/>
  </xdr:twoCellAnchor>
  <xdr:twoCellAnchor>
    <xdr:from>
      <xdr:col>4</xdr:col>
      <xdr:colOff>180975</xdr:colOff>
      <xdr:row>36</xdr:row>
      <xdr:rowOff>219075</xdr:rowOff>
    </xdr:from>
    <xdr:to>
      <xdr:col>7</xdr:col>
      <xdr:colOff>133350</xdr:colOff>
      <xdr:row>39</xdr:row>
      <xdr:rowOff>47625</xdr:rowOff>
    </xdr:to>
    <xdr:sp macro="" textlink="">
      <xdr:nvSpPr>
        <xdr:cNvPr id="3" name="正方形/長方形 2">
          <a:extLst>
            <a:ext uri="{FF2B5EF4-FFF2-40B4-BE49-F238E27FC236}">
              <a16:creationId xmlns:a16="http://schemas.microsoft.com/office/drawing/2014/main" id="{43B6EF13-7DA7-18C1-630D-19824C6B48EF}"/>
            </a:ext>
          </a:extLst>
        </xdr:cNvPr>
        <xdr:cNvSpPr/>
      </xdr:nvSpPr>
      <xdr:spPr>
        <a:xfrm>
          <a:off x="1400175" y="8791575"/>
          <a:ext cx="866775" cy="5429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切り上げ</a:t>
          </a:r>
          <a:r>
            <a:rPr kumimoji="1" lang="en-US" altLang="ja-JP" sz="1100"/>
            <a:t>1</a:t>
          </a:r>
          <a:endParaRPr kumimoji="1" lang="ja-JP" altLang="en-US" sz="1100"/>
        </a:p>
      </xdr:txBody>
    </xdr:sp>
    <xdr:clientData/>
  </xdr:twoCellAnchor>
  <xdr:twoCellAnchor>
    <xdr:from>
      <xdr:col>4</xdr:col>
      <xdr:colOff>180975</xdr:colOff>
      <xdr:row>28</xdr:row>
      <xdr:rowOff>4763</xdr:rowOff>
    </xdr:from>
    <xdr:to>
      <xdr:col>5</xdr:col>
      <xdr:colOff>104775</xdr:colOff>
      <xdr:row>38</xdr:row>
      <xdr:rowOff>14288</xdr:rowOff>
    </xdr:to>
    <xdr:cxnSp macro="">
      <xdr:nvCxnSpPr>
        <xdr:cNvPr id="6" name="直線矢印コネクタ 5">
          <a:extLst>
            <a:ext uri="{FF2B5EF4-FFF2-40B4-BE49-F238E27FC236}">
              <a16:creationId xmlns:a16="http://schemas.microsoft.com/office/drawing/2014/main" id="{00638CB6-F325-8E7B-7ECC-5F5847C37312}"/>
            </a:ext>
          </a:extLst>
        </xdr:cNvPr>
        <xdr:cNvCxnSpPr>
          <a:stCxn id="2" idx="3"/>
          <a:endCxn id="3" idx="1"/>
        </xdr:cNvCxnSpPr>
      </xdr:nvCxnSpPr>
      <xdr:spPr>
        <a:xfrm flipH="1">
          <a:off x="1400175" y="6672263"/>
          <a:ext cx="228600" cy="2390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133350</xdr:colOff>
      <xdr:row>26</xdr:row>
      <xdr:rowOff>219075</xdr:rowOff>
    </xdr:from>
    <xdr:to>
      <xdr:col>10</xdr:col>
      <xdr:colOff>85725</xdr:colOff>
      <xdr:row>29</xdr:row>
      <xdr:rowOff>47625</xdr:rowOff>
    </xdr:to>
    <xdr:sp macro="" textlink="">
      <xdr:nvSpPr>
        <xdr:cNvPr id="10" name="正方形/長方形 9">
          <a:extLst>
            <a:ext uri="{FF2B5EF4-FFF2-40B4-BE49-F238E27FC236}">
              <a16:creationId xmlns:a16="http://schemas.microsoft.com/office/drawing/2014/main" id="{12742478-CC5B-66BF-73F2-526883B71271}"/>
            </a:ext>
          </a:extLst>
        </xdr:cNvPr>
        <xdr:cNvSpPr/>
      </xdr:nvSpPr>
      <xdr:spPr>
        <a:xfrm>
          <a:off x="2266950" y="6410325"/>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地上２</a:t>
          </a:r>
        </a:p>
      </xdr:txBody>
    </xdr:sp>
    <xdr:clientData/>
  </xdr:twoCellAnchor>
  <xdr:twoCellAnchor>
    <xdr:from>
      <xdr:col>12</xdr:col>
      <xdr:colOff>47625</xdr:colOff>
      <xdr:row>26</xdr:row>
      <xdr:rowOff>219075</xdr:rowOff>
    </xdr:from>
    <xdr:to>
      <xdr:col>15</xdr:col>
      <xdr:colOff>0</xdr:colOff>
      <xdr:row>29</xdr:row>
      <xdr:rowOff>47625</xdr:rowOff>
    </xdr:to>
    <xdr:sp macro="" textlink="">
      <xdr:nvSpPr>
        <xdr:cNvPr id="11" name="正方形/長方形 10">
          <a:extLst>
            <a:ext uri="{FF2B5EF4-FFF2-40B4-BE49-F238E27FC236}">
              <a16:creationId xmlns:a16="http://schemas.microsoft.com/office/drawing/2014/main" id="{F11E1F40-B7DE-95F5-3F47-6DB7B906B4C8}"/>
            </a:ext>
          </a:extLst>
        </xdr:cNvPr>
        <xdr:cNvSpPr/>
      </xdr:nvSpPr>
      <xdr:spPr>
        <a:xfrm>
          <a:off x="3705225" y="6410325"/>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地上</a:t>
          </a:r>
          <a:r>
            <a:rPr kumimoji="1" lang="en-US" altLang="ja-JP" sz="1100"/>
            <a:t>3</a:t>
          </a:r>
          <a:endParaRPr kumimoji="1" lang="ja-JP" altLang="en-US" sz="1100"/>
        </a:p>
      </xdr:txBody>
    </xdr:sp>
    <xdr:clientData/>
  </xdr:twoCellAnchor>
  <xdr:twoCellAnchor>
    <xdr:from>
      <xdr:col>17</xdr:col>
      <xdr:colOff>0</xdr:colOff>
      <xdr:row>26</xdr:row>
      <xdr:rowOff>228600</xdr:rowOff>
    </xdr:from>
    <xdr:to>
      <xdr:col>19</xdr:col>
      <xdr:colOff>257175</xdr:colOff>
      <xdr:row>29</xdr:row>
      <xdr:rowOff>57150</xdr:rowOff>
    </xdr:to>
    <xdr:sp macro="" textlink="">
      <xdr:nvSpPr>
        <xdr:cNvPr id="12" name="正方形/長方形 11">
          <a:extLst>
            <a:ext uri="{FF2B5EF4-FFF2-40B4-BE49-F238E27FC236}">
              <a16:creationId xmlns:a16="http://schemas.microsoft.com/office/drawing/2014/main" id="{522792DE-2B6B-D8FA-7D6D-A1FC6F51D68F}"/>
            </a:ext>
          </a:extLst>
        </xdr:cNvPr>
        <xdr:cNvSpPr/>
      </xdr:nvSpPr>
      <xdr:spPr>
        <a:xfrm>
          <a:off x="5181600" y="6419850"/>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地上４</a:t>
          </a:r>
        </a:p>
      </xdr:txBody>
    </xdr:sp>
    <xdr:clientData/>
  </xdr:twoCellAnchor>
  <xdr:twoCellAnchor>
    <xdr:from>
      <xdr:col>21</xdr:col>
      <xdr:colOff>257175</xdr:colOff>
      <xdr:row>26</xdr:row>
      <xdr:rowOff>209550</xdr:rowOff>
    </xdr:from>
    <xdr:to>
      <xdr:col>24</xdr:col>
      <xdr:colOff>209550</xdr:colOff>
      <xdr:row>29</xdr:row>
      <xdr:rowOff>38100</xdr:rowOff>
    </xdr:to>
    <xdr:sp macro="" textlink="">
      <xdr:nvSpPr>
        <xdr:cNvPr id="13" name="正方形/長方形 12">
          <a:extLst>
            <a:ext uri="{FF2B5EF4-FFF2-40B4-BE49-F238E27FC236}">
              <a16:creationId xmlns:a16="http://schemas.microsoft.com/office/drawing/2014/main" id="{24F04BEB-2651-A94C-838E-F35301DB3DFB}"/>
            </a:ext>
          </a:extLst>
        </xdr:cNvPr>
        <xdr:cNvSpPr/>
      </xdr:nvSpPr>
      <xdr:spPr>
        <a:xfrm>
          <a:off x="6657975" y="6400800"/>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地上</a:t>
          </a:r>
          <a:r>
            <a:rPr kumimoji="1" lang="en-US" altLang="ja-JP" sz="1100"/>
            <a:t>5</a:t>
          </a:r>
          <a:endParaRPr kumimoji="1" lang="ja-JP" altLang="en-US" sz="1100"/>
        </a:p>
      </xdr:txBody>
    </xdr:sp>
    <xdr:clientData/>
  </xdr:twoCellAnchor>
  <xdr:twoCellAnchor>
    <xdr:from>
      <xdr:col>5</xdr:col>
      <xdr:colOff>104775</xdr:colOff>
      <xdr:row>28</xdr:row>
      <xdr:rowOff>4763</xdr:rowOff>
    </xdr:from>
    <xdr:to>
      <xdr:col>7</xdr:col>
      <xdr:colOff>133350</xdr:colOff>
      <xdr:row>28</xdr:row>
      <xdr:rowOff>14288</xdr:rowOff>
    </xdr:to>
    <xdr:cxnSp macro="">
      <xdr:nvCxnSpPr>
        <xdr:cNvPr id="16" name="直線矢印コネクタ 15">
          <a:extLst>
            <a:ext uri="{FF2B5EF4-FFF2-40B4-BE49-F238E27FC236}">
              <a16:creationId xmlns:a16="http://schemas.microsoft.com/office/drawing/2014/main" id="{229FF8BB-DC7B-E01A-B37D-65E72D140BBB}"/>
            </a:ext>
          </a:extLst>
        </xdr:cNvPr>
        <xdr:cNvCxnSpPr>
          <a:stCxn id="2" idx="3"/>
          <a:endCxn id="10" idx="1"/>
        </xdr:cNvCxnSpPr>
      </xdr:nvCxnSpPr>
      <xdr:spPr>
        <a:xfrm>
          <a:off x="1628775" y="6672263"/>
          <a:ext cx="6381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76200</xdr:colOff>
      <xdr:row>28</xdr:row>
      <xdr:rowOff>14288</xdr:rowOff>
    </xdr:from>
    <xdr:to>
      <xdr:col>12</xdr:col>
      <xdr:colOff>38100</xdr:colOff>
      <xdr:row>28</xdr:row>
      <xdr:rowOff>14288</xdr:rowOff>
    </xdr:to>
    <xdr:cxnSp macro="">
      <xdr:nvCxnSpPr>
        <xdr:cNvPr id="18" name="直線矢印コネクタ 17">
          <a:extLst>
            <a:ext uri="{FF2B5EF4-FFF2-40B4-BE49-F238E27FC236}">
              <a16:creationId xmlns:a16="http://schemas.microsoft.com/office/drawing/2014/main" id="{D4E61294-C862-FB9A-2433-733E2B00B6A2}"/>
            </a:ext>
          </a:extLst>
        </xdr:cNvPr>
        <xdr:cNvCxnSpPr/>
      </xdr:nvCxnSpPr>
      <xdr:spPr>
        <a:xfrm>
          <a:off x="3124200" y="6681788"/>
          <a:ext cx="571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28</xdr:row>
      <xdr:rowOff>14288</xdr:rowOff>
    </xdr:from>
    <xdr:to>
      <xdr:col>17</xdr:col>
      <xdr:colOff>0</xdr:colOff>
      <xdr:row>28</xdr:row>
      <xdr:rowOff>23813</xdr:rowOff>
    </xdr:to>
    <xdr:cxnSp macro="">
      <xdr:nvCxnSpPr>
        <xdr:cNvPr id="23" name="直線矢印コネクタ 22">
          <a:extLst>
            <a:ext uri="{FF2B5EF4-FFF2-40B4-BE49-F238E27FC236}">
              <a16:creationId xmlns:a16="http://schemas.microsoft.com/office/drawing/2014/main" id="{86412CA0-E1D6-E681-F222-B2F523FD68D2}"/>
            </a:ext>
          </a:extLst>
        </xdr:cNvPr>
        <xdr:cNvCxnSpPr>
          <a:stCxn id="11" idx="3"/>
          <a:endCxn id="12" idx="1"/>
        </xdr:cNvCxnSpPr>
      </xdr:nvCxnSpPr>
      <xdr:spPr>
        <a:xfrm>
          <a:off x="4572000" y="6681788"/>
          <a:ext cx="6096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257175</xdr:colOff>
      <xdr:row>28</xdr:row>
      <xdr:rowOff>4763</xdr:rowOff>
    </xdr:from>
    <xdr:to>
      <xdr:col>21</xdr:col>
      <xdr:colOff>257175</xdr:colOff>
      <xdr:row>28</xdr:row>
      <xdr:rowOff>23813</xdr:rowOff>
    </xdr:to>
    <xdr:cxnSp macro="">
      <xdr:nvCxnSpPr>
        <xdr:cNvPr id="27" name="直線矢印コネクタ 26">
          <a:extLst>
            <a:ext uri="{FF2B5EF4-FFF2-40B4-BE49-F238E27FC236}">
              <a16:creationId xmlns:a16="http://schemas.microsoft.com/office/drawing/2014/main" id="{CEA6D135-07C8-9314-5B1D-EA46CF7F7EBA}"/>
            </a:ext>
          </a:extLst>
        </xdr:cNvPr>
        <xdr:cNvCxnSpPr>
          <a:stCxn id="12" idx="3"/>
          <a:endCxn id="13" idx="1"/>
        </xdr:cNvCxnSpPr>
      </xdr:nvCxnSpPr>
      <xdr:spPr>
        <a:xfrm flipV="1">
          <a:off x="6048375" y="6672263"/>
          <a:ext cx="60960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76200</xdr:colOff>
      <xdr:row>41</xdr:row>
      <xdr:rowOff>171450</xdr:rowOff>
    </xdr:from>
    <xdr:to>
      <xdr:col>13</xdr:col>
      <xdr:colOff>228600</xdr:colOff>
      <xdr:row>44</xdr:row>
      <xdr:rowOff>0</xdr:rowOff>
    </xdr:to>
    <xdr:sp macro="" textlink="">
      <xdr:nvSpPr>
        <xdr:cNvPr id="31" name="正方形/長方形 30">
          <a:extLst>
            <a:ext uri="{FF2B5EF4-FFF2-40B4-BE49-F238E27FC236}">
              <a16:creationId xmlns:a16="http://schemas.microsoft.com/office/drawing/2014/main" id="{1317DEEE-A3A1-199F-983B-899D3F3CE9B8}"/>
            </a:ext>
          </a:extLst>
        </xdr:cNvPr>
        <xdr:cNvSpPr/>
      </xdr:nvSpPr>
      <xdr:spPr>
        <a:xfrm>
          <a:off x="3124200" y="9934575"/>
          <a:ext cx="1066800" cy="5429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切り上げ２</a:t>
          </a:r>
        </a:p>
      </xdr:txBody>
    </xdr:sp>
    <xdr:clientData/>
  </xdr:twoCellAnchor>
  <xdr:twoCellAnchor>
    <xdr:from>
      <xdr:col>15</xdr:col>
      <xdr:colOff>28575</xdr:colOff>
      <xdr:row>46</xdr:row>
      <xdr:rowOff>66675</xdr:rowOff>
    </xdr:from>
    <xdr:to>
      <xdr:col>17</xdr:col>
      <xdr:colOff>285750</xdr:colOff>
      <xdr:row>48</xdr:row>
      <xdr:rowOff>133350</xdr:rowOff>
    </xdr:to>
    <xdr:sp macro="" textlink="">
      <xdr:nvSpPr>
        <xdr:cNvPr id="32" name="正方形/長方形 31">
          <a:extLst>
            <a:ext uri="{FF2B5EF4-FFF2-40B4-BE49-F238E27FC236}">
              <a16:creationId xmlns:a16="http://schemas.microsoft.com/office/drawing/2014/main" id="{6A9FFD03-8C7F-7743-11D2-7D847FA17769}"/>
            </a:ext>
          </a:extLst>
        </xdr:cNvPr>
        <xdr:cNvSpPr/>
      </xdr:nvSpPr>
      <xdr:spPr>
        <a:xfrm>
          <a:off x="4600575" y="11020425"/>
          <a:ext cx="866775" cy="5429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切り上げ</a:t>
          </a:r>
          <a:r>
            <a:rPr kumimoji="1" lang="en-US" altLang="ja-JP" sz="1100"/>
            <a:t>3</a:t>
          </a:r>
          <a:endParaRPr kumimoji="1" lang="ja-JP" altLang="en-US" sz="1100"/>
        </a:p>
      </xdr:txBody>
    </xdr:sp>
    <xdr:clientData/>
  </xdr:twoCellAnchor>
  <xdr:twoCellAnchor>
    <xdr:from>
      <xdr:col>21</xdr:col>
      <xdr:colOff>238125</xdr:colOff>
      <xdr:row>30</xdr:row>
      <xdr:rowOff>114300</xdr:rowOff>
    </xdr:from>
    <xdr:to>
      <xdr:col>24</xdr:col>
      <xdr:colOff>190500</xdr:colOff>
      <xdr:row>32</xdr:row>
      <xdr:rowOff>180975</xdr:rowOff>
    </xdr:to>
    <xdr:sp macro="" textlink="">
      <xdr:nvSpPr>
        <xdr:cNvPr id="33" name="正方形/長方形 32">
          <a:extLst>
            <a:ext uri="{FF2B5EF4-FFF2-40B4-BE49-F238E27FC236}">
              <a16:creationId xmlns:a16="http://schemas.microsoft.com/office/drawing/2014/main" id="{D50A5F8E-B9CD-3C0F-4501-053DB1CBB01C}"/>
            </a:ext>
          </a:extLst>
        </xdr:cNvPr>
        <xdr:cNvSpPr/>
      </xdr:nvSpPr>
      <xdr:spPr>
        <a:xfrm>
          <a:off x="6638925" y="7258050"/>
          <a:ext cx="866775" cy="5429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強３</a:t>
          </a:r>
        </a:p>
      </xdr:txBody>
    </xdr:sp>
    <xdr:clientData/>
  </xdr:twoCellAnchor>
  <xdr:twoCellAnchor>
    <xdr:from>
      <xdr:col>10</xdr:col>
      <xdr:colOff>76200</xdr:colOff>
      <xdr:row>28</xdr:row>
      <xdr:rowOff>14288</xdr:rowOff>
    </xdr:from>
    <xdr:to>
      <xdr:col>10</xdr:col>
      <xdr:colOff>85725</xdr:colOff>
      <xdr:row>42</xdr:row>
      <xdr:rowOff>204788</xdr:rowOff>
    </xdr:to>
    <xdr:cxnSp macro="">
      <xdr:nvCxnSpPr>
        <xdr:cNvPr id="36" name="直線矢印コネクタ 35">
          <a:extLst>
            <a:ext uri="{FF2B5EF4-FFF2-40B4-BE49-F238E27FC236}">
              <a16:creationId xmlns:a16="http://schemas.microsoft.com/office/drawing/2014/main" id="{E95430B9-CDF7-920A-C218-5A2189E1E645}"/>
            </a:ext>
          </a:extLst>
        </xdr:cNvPr>
        <xdr:cNvCxnSpPr>
          <a:stCxn id="10" idx="3"/>
          <a:endCxn id="31" idx="1"/>
        </xdr:cNvCxnSpPr>
      </xdr:nvCxnSpPr>
      <xdr:spPr>
        <a:xfrm flipH="1">
          <a:off x="3124200" y="6681788"/>
          <a:ext cx="9525" cy="3524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28</xdr:row>
      <xdr:rowOff>14288</xdr:rowOff>
    </xdr:from>
    <xdr:to>
      <xdr:col>15</xdr:col>
      <xdr:colOff>28575</xdr:colOff>
      <xdr:row>47</xdr:row>
      <xdr:rowOff>100013</xdr:rowOff>
    </xdr:to>
    <xdr:cxnSp macro="">
      <xdr:nvCxnSpPr>
        <xdr:cNvPr id="39" name="直線矢印コネクタ 38">
          <a:extLst>
            <a:ext uri="{FF2B5EF4-FFF2-40B4-BE49-F238E27FC236}">
              <a16:creationId xmlns:a16="http://schemas.microsoft.com/office/drawing/2014/main" id="{86F2F195-00EC-A427-8194-9F1C27530983}"/>
            </a:ext>
          </a:extLst>
        </xdr:cNvPr>
        <xdr:cNvCxnSpPr>
          <a:stCxn id="11" idx="3"/>
          <a:endCxn id="32" idx="1"/>
        </xdr:cNvCxnSpPr>
      </xdr:nvCxnSpPr>
      <xdr:spPr>
        <a:xfrm>
          <a:off x="4572000" y="6681788"/>
          <a:ext cx="28575" cy="4610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257175</xdr:colOff>
      <xdr:row>28</xdr:row>
      <xdr:rowOff>23813</xdr:rowOff>
    </xdr:from>
    <xdr:to>
      <xdr:col>21</xdr:col>
      <xdr:colOff>238125</xdr:colOff>
      <xdr:row>31</xdr:row>
      <xdr:rowOff>147638</xdr:rowOff>
    </xdr:to>
    <xdr:cxnSp macro="">
      <xdr:nvCxnSpPr>
        <xdr:cNvPr id="42" name="直線矢印コネクタ 41">
          <a:extLst>
            <a:ext uri="{FF2B5EF4-FFF2-40B4-BE49-F238E27FC236}">
              <a16:creationId xmlns:a16="http://schemas.microsoft.com/office/drawing/2014/main" id="{20CDADD4-4A8F-B592-FC8D-9C1B6B16D2DF}"/>
            </a:ext>
          </a:extLst>
        </xdr:cNvPr>
        <xdr:cNvCxnSpPr>
          <a:stCxn id="12" idx="3"/>
          <a:endCxn id="33" idx="1"/>
        </xdr:cNvCxnSpPr>
      </xdr:nvCxnSpPr>
      <xdr:spPr>
        <a:xfrm>
          <a:off x="6048375" y="6691313"/>
          <a:ext cx="590550" cy="838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266700</xdr:colOff>
      <xdr:row>36</xdr:row>
      <xdr:rowOff>219075</xdr:rowOff>
    </xdr:from>
    <xdr:to>
      <xdr:col>11</xdr:col>
      <xdr:colOff>219075</xdr:colOff>
      <xdr:row>39</xdr:row>
      <xdr:rowOff>47625</xdr:rowOff>
    </xdr:to>
    <xdr:sp macro="" textlink="">
      <xdr:nvSpPr>
        <xdr:cNvPr id="47" name="正方形/長方形 46">
          <a:extLst>
            <a:ext uri="{FF2B5EF4-FFF2-40B4-BE49-F238E27FC236}">
              <a16:creationId xmlns:a16="http://schemas.microsoft.com/office/drawing/2014/main" id="{A6D349A2-857C-39F7-F5E1-39D37E2198B9}"/>
            </a:ext>
          </a:extLst>
        </xdr:cNvPr>
        <xdr:cNvSpPr/>
      </xdr:nvSpPr>
      <xdr:spPr>
        <a:xfrm>
          <a:off x="2705100" y="8791575"/>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空中</a:t>
          </a:r>
          <a:r>
            <a:rPr kumimoji="1" lang="en-US" altLang="ja-JP" sz="1100"/>
            <a:t>1</a:t>
          </a:r>
          <a:endParaRPr kumimoji="1" lang="ja-JP" altLang="en-US" sz="1100"/>
        </a:p>
      </xdr:txBody>
    </xdr:sp>
    <xdr:clientData/>
  </xdr:twoCellAnchor>
  <xdr:twoCellAnchor>
    <xdr:from>
      <xdr:col>12</xdr:col>
      <xdr:colOff>247650</xdr:colOff>
      <xdr:row>37</xdr:row>
      <xdr:rowOff>0</xdr:rowOff>
    </xdr:from>
    <xdr:to>
      <xdr:col>15</xdr:col>
      <xdr:colOff>200025</xdr:colOff>
      <xdr:row>39</xdr:row>
      <xdr:rowOff>66675</xdr:rowOff>
    </xdr:to>
    <xdr:sp macro="" textlink="">
      <xdr:nvSpPr>
        <xdr:cNvPr id="51" name="正方形/長方形 50">
          <a:extLst>
            <a:ext uri="{FF2B5EF4-FFF2-40B4-BE49-F238E27FC236}">
              <a16:creationId xmlns:a16="http://schemas.microsoft.com/office/drawing/2014/main" id="{9B53BF35-9B67-9560-4B4A-A4A4A32429F9}"/>
            </a:ext>
          </a:extLst>
        </xdr:cNvPr>
        <xdr:cNvSpPr/>
      </xdr:nvSpPr>
      <xdr:spPr>
        <a:xfrm>
          <a:off x="3905250" y="8810625"/>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空中</a:t>
          </a:r>
          <a:r>
            <a:rPr kumimoji="1" lang="en-US" altLang="ja-JP" sz="1100"/>
            <a:t>2</a:t>
          </a:r>
          <a:endParaRPr kumimoji="1" lang="ja-JP" altLang="en-US" sz="1100"/>
        </a:p>
      </xdr:txBody>
    </xdr:sp>
    <xdr:clientData/>
  </xdr:twoCellAnchor>
  <xdr:twoCellAnchor>
    <xdr:from>
      <xdr:col>16</xdr:col>
      <xdr:colOff>180975</xdr:colOff>
      <xdr:row>36</xdr:row>
      <xdr:rowOff>219075</xdr:rowOff>
    </xdr:from>
    <xdr:to>
      <xdr:col>19</xdr:col>
      <xdr:colOff>133350</xdr:colOff>
      <xdr:row>39</xdr:row>
      <xdr:rowOff>47625</xdr:rowOff>
    </xdr:to>
    <xdr:sp macro="" textlink="">
      <xdr:nvSpPr>
        <xdr:cNvPr id="52" name="正方形/長方形 51">
          <a:extLst>
            <a:ext uri="{FF2B5EF4-FFF2-40B4-BE49-F238E27FC236}">
              <a16:creationId xmlns:a16="http://schemas.microsoft.com/office/drawing/2014/main" id="{59F1F595-6184-E83C-6E41-51145E43C18C}"/>
            </a:ext>
          </a:extLst>
        </xdr:cNvPr>
        <xdr:cNvSpPr/>
      </xdr:nvSpPr>
      <xdr:spPr>
        <a:xfrm>
          <a:off x="5057775" y="8791575"/>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空中</a:t>
          </a:r>
          <a:r>
            <a:rPr kumimoji="1" lang="en-US" altLang="ja-JP" sz="1100"/>
            <a:t>3</a:t>
          </a:r>
          <a:endParaRPr kumimoji="1" lang="ja-JP" altLang="en-US" sz="1100"/>
        </a:p>
      </xdr:txBody>
    </xdr:sp>
    <xdr:clientData/>
  </xdr:twoCellAnchor>
  <xdr:twoCellAnchor>
    <xdr:from>
      <xdr:col>19</xdr:col>
      <xdr:colOff>95250</xdr:colOff>
      <xdr:row>46</xdr:row>
      <xdr:rowOff>76200</xdr:rowOff>
    </xdr:from>
    <xdr:to>
      <xdr:col>22</xdr:col>
      <xdr:colOff>47625</xdr:colOff>
      <xdr:row>48</xdr:row>
      <xdr:rowOff>142875</xdr:rowOff>
    </xdr:to>
    <xdr:sp macro="" textlink="">
      <xdr:nvSpPr>
        <xdr:cNvPr id="53" name="正方形/長方形 52">
          <a:extLst>
            <a:ext uri="{FF2B5EF4-FFF2-40B4-BE49-F238E27FC236}">
              <a16:creationId xmlns:a16="http://schemas.microsoft.com/office/drawing/2014/main" id="{79ACAA13-B9E1-5D69-2D1E-16CCFB495E26}"/>
            </a:ext>
          </a:extLst>
        </xdr:cNvPr>
        <xdr:cNvSpPr/>
      </xdr:nvSpPr>
      <xdr:spPr>
        <a:xfrm>
          <a:off x="5886450" y="11029950"/>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空中</a:t>
          </a:r>
          <a:r>
            <a:rPr kumimoji="1" lang="en-US" altLang="ja-JP" sz="1100"/>
            <a:t>1</a:t>
          </a:r>
          <a:endParaRPr kumimoji="1" lang="ja-JP" altLang="en-US" sz="1100"/>
        </a:p>
      </xdr:txBody>
    </xdr:sp>
    <xdr:clientData/>
  </xdr:twoCellAnchor>
  <xdr:twoCellAnchor>
    <xdr:from>
      <xdr:col>23</xdr:col>
      <xdr:colOff>238125</xdr:colOff>
      <xdr:row>46</xdr:row>
      <xdr:rowOff>76200</xdr:rowOff>
    </xdr:from>
    <xdr:to>
      <xdr:col>26</xdr:col>
      <xdr:colOff>190500</xdr:colOff>
      <xdr:row>48</xdr:row>
      <xdr:rowOff>142875</xdr:rowOff>
    </xdr:to>
    <xdr:sp macro="" textlink="">
      <xdr:nvSpPr>
        <xdr:cNvPr id="55" name="正方形/長方形 54">
          <a:extLst>
            <a:ext uri="{FF2B5EF4-FFF2-40B4-BE49-F238E27FC236}">
              <a16:creationId xmlns:a16="http://schemas.microsoft.com/office/drawing/2014/main" id="{01712D99-8CB6-2E24-3854-97E6273317F8}"/>
            </a:ext>
          </a:extLst>
        </xdr:cNvPr>
        <xdr:cNvSpPr/>
      </xdr:nvSpPr>
      <xdr:spPr>
        <a:xfrm>
          <a:off x="7248525" y="11029950"/>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空中</a:t>
          </a:r>
          <a:r>
            <a:rPr kumimoji="1" lang="en-US" altLang="ja-JP" sz="1100"/>
            <a:t>4</a:t>
          </a:r>
          <a:endParaRPr kumimoji="1" lang="ja-JP" altLang="en-US" sz="1100"/>
        </a:p>
      </xdr:txBody>
    </xdr:sp>
    <xdr:clientData/>
  </xdr:twoCellAnchor>
  <xdr:twoCellAnchor>
    <xdr:from>
      <xdr:col>20</xdr:col>
      <xdr:colOff>285750</xdr:colOff>
      <xdr:row>36</xdr:row>
      <xdr:rowOff>200025</xdr:rowOff>
    </xdr:from>
    <xdr:to>
      <xdr:col>23</xdr:col>
      <xdr:colOff>238125</xdr:colOff>
      <xdr:row>39</xdr:row>
      <xdr:rowOff>28575</xdr:rowOff>
    </xdr:to>
    <xdr:sp macro="" textlink="">
      <xdr:nvSpPr>
        <xdr:cNvPr id="58" name="正方形/長方形 57">
          <a:extLst>
            <a:ext uri="{FF2B5EF4-FFF2-40B4-BE49-F238E27FC236}">
              <a16:creationId xmlns:a16="http://schemas.microsoft.com/office/drawing/2014/main" id="{95B0F2F2-3E98-619D-8D17-8EFEF9405B97}"/>
            </a:ext>
          </a:extLst>
        </xdr:cNvPr>
        <xdr:cNvSpPr/>
      </xdr:nvSpPr>
      <xdr:spPr>
        <a:xfrm>
          <a:off x="6381750" y="8772525"/>
          <a:ext cx="866775"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空中</a:t>
          </a:r>
          <a:r>
            <a:rPr kumimoji="1" lang="en-US" altLang="ja-JP" sz="1100"/>
            <a:t>4</a:t>
          </a:r>
          <a:endParaRPr kumimoji="1" lang="ja-JP" altLang="en-US" sz="1100"/>
        </a:p>
      </xdr:txBody>
    </xdr:sp>
    <xdr:clientData/>
  </xdr:twoCellAnchor>
  <xdr:twoCellAnchor>
    <xdr:from>
      <xdr:col>7</xdr:col>
      <xdr:colOff>133350</xdr:colOff>
      <xdr:row>38</xdr:row>
      <xdr:rowOff>14288</xdr:rowOff>
    </xdr:from>
    <xdr:to>
      <xdr:col>8</xdr:col>
      <xdr:colOff>266700</xdr:colOff>
      <xdr:row>38</xdr:row>
      <xdr:rowOff>14288</xdr:rowOff>
    </xdr:to>
    <xdr:cxnSp macro="">
      <xdr:nvCxnSpPr>
        <xdr:cNvPr id="60" name="直線矢印コネクタ 59">
          <a:extLst>
            <a:ext uri="{FF2B5EF4-FFF2-40B4-BE49-F238E27FC236}">
              <a16:creationId xmlns:a16="http://schemas.microsoft.com/office/drawing/2014/main" id="{9ABCBD60-97B9-6E7D-9CC9-28D2F2F7B438}"/>
            </a:ext>
          </a:extLst>
        </xdr:cNvPr>
        <xdr:cNvCxnSpPr>
          <a:stCxn id="3" idx="3"/>
          <a:endCxn id="47" idx="1"/>
        </xdr:cNvCxnSpPr>
      </xdr:nvCxnSpPr>
      <xdr:spPr>
        <a:xfrm>
          <a:off x="2266950" y="9063038"/>
          <a:ext cx="4381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219075</xdr:colOff>
      <xdr:row>38</xdr:row>
      <xdr:rowOff>14288</xdr:rowOff>
    </xdr:from>
    <xdr:to>
      <xdr:col>12</xdr:col>
      <xdr:colOff>247650</xdr:colOff>
      <xdr:row>38</xdr:row>
      <xdr:rowOff>33338</xdr:rowOff>
    </xdr:to>
    <xdr:cxnSp macro="">
      <xdr:nvCxnSpPr>
        <xdr:cNvPr id="66" name="直線矢印コネクタ 65">
          <a:extLst>
            <a:ext uri="{FF2B5EF4-FFF2-40B4-BE49-F238E27FC236}">
              <a16:creationId xmlns:a16="http://schemas.microsoft.com/office/drawing/2014/main" id="{D9380E42-0E4F-448D-D5D0-A4DEBAFF8835}"/>
            </a:ext>
          </a:extLst>
        </xdr:cNvPr>
        <xdr:cNvCxnSpPr>
          <a:stCxn id="47" idx="3"/>
          <a:endCxn id="51" idx="1"/>
        </xdr:cNvCxnSpPr>
      </xdr:nvCxnSpPr>
      <xdr:spPr>
        <a:xfrm>
          <a:off x="3571875" y="9063038"/>
          <a:ext cx="333375"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200025</xdr:colOff>
      <xdr:row>38</xdr:row>
      <xdr:rowOff>14288</xdr:rowOff>
    </xdr:from>
    <xdr:to>
      <xdr:col>16</xdr:col>
      <xdr:colOff>180975</xdr:colOff>
      <xdr:row>38</xdr:row>
      <xdr:rowOff>33338</xdr:rowOff>
    </xdr:to>
    <xdr:cxnSp macro="">
      <xdr:nvCxnSpPr>
        <xdr:cNvPr id="69" name="直線矢印コネクタ 68">
          <a:extLst>
            <a:ext uri="{FF2B5EF4-FFF2-40B4-BE49-F238E27FC236}">
              <a16:creationId xmlns:a16="http://schemas.microsoft.com/office/drawing/2014/main" id="{B1C72B8D-91DF-C62E-2B63-2D13A38655A4}"/>
            </a:ext>
          </a:extLst>
        </xdr:cNvPr>
        <xdr:cNvCxnSpPr>
          <a:stCxn id="51" idx="3"/>
          <a:endCxn id="52" idx="1"/>
        </xdr:cNvCxnSpPr>
      </xdr:nvCxnSpPr>
      <xdr:spPr>
        <a:xfrm flipV="1">
          <a:off x="4772025" y="9063038"/>
          <a:ext cx="28575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133350</xdr:colOff>
      <xdr:row>37</xdr:row>
      <xdr:rowOff>233363</xdr:rowOff>
    </xdr:from>
    <xdr:to>
      <xdr:col>20</xdr:col>
      <xdr:colOff>285750</xdr:colOff>
      <xdr:row>38</xdr:row>
      <xdr:rowOff>14288</xdr:rowOff>
    </xdr:to>
    <xdr:cxnSp macro="">
      <xdr:nvCxnSpPr>
        <xdr:cNvPr id="72" name="直線矢印コネクタ 71">
          <a:extLst>
            <a:ext uri="{FF2B5EF4-FFF2-40B4-BE49-F238E27FC236}">
              <a16:creationId xmlns:a16="http://schemas.microsoft.com/office/drawing/2014/main" id="{133170D3-2A24-B456-33E5-1EF74EEB2228}"/>
            </a:ext>
          </a:extLst>
        </xdr:cNvPr>
        <xdr:cNvCxnSpPr>
          <a:stCxn id="52" idx="3"/>
          <a:endCxn id="58" idx="1"/>
        </xdr:cNvCxnSpPr>
      </xdr:nvCxnSpPr>
      <xdr:spPr>
        <a:xfrm flipV="1">
          <a:off x="5924550" y="9043988"/>
          <a:ext cx="45720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285750</xdr:colOff>
      <xdr:row>47</xdr:row>
      <xdr:rowOff>100013</xdr:rowOff>
    </xdr:from>
    <xdr:to>
      <xdr:col>19</xdr:col>
      <xdr:colOff>95250</xdr:colOff>
      <xdr:row>47</xdr:row>
      <xdr:rowOff>109538</xdr:rowOff>
    </xdr:to>
    <xdr:cxnSp macro="">
      <xdr:nvCxnSpPr>
        <xdr:cNvPr id="78" name="直線矢印コネクタ 77">
          <a:extLst>
            <a:ext uri="{FF2B5EF4-FFF2-40B4-BE49-F238E27FC236}">
              <a16:creationId xmlns:a16="http://schemas.microsoft.com/office/drawing/2014/main" id="{4F5D9089-DC87-F94C-4AD2-7C49D3DE0A33}"/>
            </a:ext>
          </a:extLst>
        </xdr:cNvPr>
        <xdr:cNvCxnSpPr>
          <a:stCxn id="32" idx="3"/>
          <a:endCxn id="53" idx="1"/>
        </xdr:cNvCxnSpPr>
      </xdr:nvCxnSpPr>
      <xdr:spPr>
        <a:xfrm>
          <a:off x="5467350" y="11291888"/>
          <a:ext cx="4191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47625</xdr:colOff>
      <xdr:row>47</xdr:row>
      <xdr:rowOff>109538</xdr:rowOff>
    </xdr:from>
    <xdr:to>
      <xdr:col>23</xdr:col>
      <xdr:colOff>238125</xdr:colOff>
      <xdr:row>47</xdr:row>
      <xdr:rowOff>109538</xdr:rowOff>
    </xdr:to>
    <xdr:cxnSp macro="">
      <xdr:nvCxnSpPr>
        <xdr:cNvPr id="81" name="直線矢印コネクタ 80">
          <a:extLst>
            <a:ext uri="{FF2B5EF4-FFF2-40B4-BE49-F238E27FC236}">
              <a16:creationId xmlns:a16="http://schemas.microsoft.com/office/drawing/2014/main" id="{A2AE6844-E79D-C61E-C32D-B1585B3361FB}"/>
            </a:ext>
          </a:extLst>
        </xdr:cNvPr>
        <xdr:cNvCxnSpPr>
          <a:stCxn id="53" idx="3"/>
          <a:endCxn id="55" idx="1"/>
        </xdr:cNvCxnSpPr>
      </xdr:nvCxnSpPr>
      <xdr:spPr>
        <a:xfrm>
          <a:off x="6753225" y="11301413"/>
          <a:ext cx="4953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123825</xdr:colOff>
      <xdr:row>30</xdr:row>
      <xdr:rowOff>171450</xdr:rowOff>
    </xdr:from>
    <xdr:to>
      <xdr:col>5</xdr:col>
      <xdr:colOff>76200</xdr:colOff>
      <xdr:row>33</xdr:row>
      <xdr:rowOff>0</xdr:rowOff>
    </xdr:to>
    <xdr:sp macro="" textlink="">
      <xdr:nvSpPr>
        <xdr:cNvPr id="83" name="正方形/長方形 82">
          <a:extLst>
            <a:ext uri="{FF2B5EF4-FFF2-40B4-BE49-F238E27FC236}">
              <a16:creationId xmlns:a16="http://schemas.microsoft.com/office/drawing/2014/main" id="{F47593BE-2808-51D9-5F5A-A42BFBA65B8E}"/>
            </a:ext>
          </a:extLst>
        </xdr:cNvPr>
        <xdr:cNvSpPr/>
      </xdr:nvSpPr>
      <xdr:spPr>
        <a:xfrm>
          <a:off x="733425" y="7315200"/>
          <a:ext cx="866775" cy="5429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強</a:t>
          </a:r>
          <a:r>
            <a:rPr kumimoji="1" lang="en-US" altLang="ja-JP" sz="1100"/>
            <a:t>1</a:t>
          </a:r>
          <a:endParaRPr kumimoji="1" lang="ja-JP" altLang="en-US" sz="1100"/>
        </a:p>
      </xdr:txBody>
    </xdr:sp>
    <xdr:clientData/>
  </xdr:twoCellAnchor>
  <xdr:twoCellAnchor>
    <xdr:from>
      <xdr:col>0</xdr:col>
      <xdr:colOff>0</xdr:colOff>
      <xdr:row>30</xdr:row>
      <xdr:rowOff>228600</xdr:rowOff>
    </xdr:from>
    <xdr:to>
      <xdr:col>0</xdr:col>
      <xdr:colOff>0</xdr:colOff>
      <xdr:row>33</xdr:row>
      <xdr:rowOff>57150</xdr:rowOff>
    </xdr:to>
    <xdr:sp macro="" textlink="">
      <xdr:nvSpPr>
        <xdr:cNvPr id="84" name="正方形/長方形 83">
          <a:extLst>
            <a:ext uri="{FF2B5EF4-FFF2-40B4-BE49-F238E27FC236}">
              <a16:creationId xmlns:a16="http://schemas.microsoft.com/office/drawing/2014/main" id="{9A8D576E-CA75-E84D-7423-98DEA41F6862}"/>
            </a:ext>
          </a:extLst>
        </xdr:cNvPr>
        <xdr:cNvSpPr/>
      </xdr:nvSpPr>
      <xdr:spPr>
        <a:xfrm>
          <a:off x="0" y="7372350"/>
          <a:ext cx="0" cy="5429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123825</xdr:colOff>
      <xdr:row>30</xdr:row>
      <xdr:rowOff>180975</xdr:rowOff>
    </xdr:from>
    <xdr:to>
      <xdr:col>10</xdr:col>
      <xdr:colOff>76200</xdr:colOff>
      <xdr:row>33</xdr:row>
      <xdr:rowOff>9525</xdr:rowOff>
    </xdr:to>
    <xdr:sp macro="" textlink="">
      <xdr:nvSpPr>
        <xdr:cNvPr id="85" name="正方形/長方形 84">
          <a:extLst>
            <a:ext uri="{FF2B5EF4-FFF2-40B4-BE49-F238E27FC236}">
              <a16:creationId xmlns:a16="http://schemas.microsoft.com/office/drawing/2014/main" id="{9C384BA8-378F-1537-45D6-455C564888A5}"/>
            </a:ext>
          </a:extLst>
        </xdr:cNvPr>
        <xdr:cNvSpPr/>
      </xdr:nvSpPr>
      <xdr:spPr>
        <a:xfrm>
          <a:off x="2257425" y="7324725"/>
          <a:ext cx="866775" cy="5429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強</a:t>
          </a:r>
          <a:r>
            <a:rPr kumimoji="1" lang="en-US" altLang="ja-JP" sz="1100"/>
            <a:t>2</a:t>
          </a:r>
          <a:endParaRPr kumimoji="1" lang="ja-JP" altLang="en-US" sz="1100"/>
        </a:p>
      </xdr:txBody>
    </xdr:sp>
    <xdr:clientData/>
  </xdr:twoCellAnchor>
  <xdr:twoCellAnchor>
    <xdr:from>
      <xdr:col>5</xdr:col>
      <xdr:colOff>76200</xdr:colOff>
      <xdr:row>31</xdr:row>
      <xdr:rowOff>204788</xdr:rowOff>
    </xdr:from>
    <xdr:to>
      <xdr:col>7</xdr:col>
      <xdr:colOff>123825</xdr:colOff>
      <xdr:row>31</xdr:row>
      <xdr:rowOff>214313</xdr:rowOff>
    </xdr:to>
    <xdr:cxnSp macro="">
      <xdr:nvCxnSpPr>
        <xdr:cNvPr id="87" name="直線矢印コネクタ 86">
          <a:extLst>
            <a:ext uri="{FF2B5EF4-FFF2-40B4-BE49-F238E27FC236}">
              <a16:creationId xmlns:a16="http://schemas.microsoft.com/office/drawing/2014/main" id="{7CF3F4ED-EC41-2515-7DB8-28791575A9DB}"/>
            </a:ext>
          </a:extLst>
        </xdr:cNvPr>
        <xdr:cNvCxnSpPr>
          <a:stCxn id="83" idx="3"/>
          <a:endCxn id="85" idx="1"/>
        </xdr:cNvCxnSpPr>
      </xdr:nvCxnSpPr>
      <xdr:spPr>
        <a:xfrm>
          <a:off x="1600200" y="7586663"/>
          <a:ext cx="6572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285750</xdr:colOff>
      <xdr:row>41</xdr:row>
      <xdr:rowOff>9525</xdr:rowOff>
    </xdr:from>
    <xdr:to>
      <xdr:col>27</xdr:col>
      <xdr:colOff>152400</xdr:colOff>
      <xdr:row>43</xdr:row>
      <xdr:rowOff>76200</xdr:rowOff>
    </xdr:to>
    <xdr:sp macro="" textlink="">
      <xdr:nvSpPr>
        <xdr:cNvPr id="89" name="正方形/長方形 88">
          <a:extLst>
            <a:ext uri="{FF2B5EF4-FFF2-40B4-BE49-F238E27FC236}">
              <a16:creationId xmlns:a16="http://schemas.microsoft.com/office/drawing/2014/main" id="{E3FABCD3-7056-5CA9-45CD-E34939AAF3F9}"/>
            </a:ext>
          </a:extLst>
        </xdr:cNvPr>
        <xdr:cNvSpPr/>
      </xdr:nvSpPr>
      <xdr:spPr>
        <a:xfrm>
          <a:off x="7296150" y="9772650"/>
          <a:ext cx="1085850" cy="5429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いずな落とし</a:t>
          </a:r>
        </a:p>
      </xdr:txBody>
    </xdr:sp>
    <xdr:clientData/>
  </xdr:twoCellAnchor>
  <xdr:twoCellAnchor>
    <xdr:from>
      <xdr:col>15</xdr:col>
      <xdr:colOff>200025</xdr:colOff>
      <xdr:row>38</xdr:row>
      <xdr:rowOff>33338</xdr:rowOff>
    </xdr:from>
    <xdr:to>
      <xdr:col>23</xdr:col>
      <xdr:colOff>285750</xdr:colOff>
      <xdr:row>42</xdr:row>
      <xdr:rowOff>42863</xdr:rowOff>
    </xdr:to>
    <xdr:cxnSp macro="">
      <xdr:nvCxnSpPr>
        <xdr:cNvPr id="91" name="直線矢印コネクタ 90">
          <a:extLst>
            <a:ext uri="{FF2B5EF4-FFF2-40B4-BE49-F238E27FC236}">
              <a16:creationId xmlns:a16="http://schemas.microsoft.com/office/drawing/2014/main" id="{DC6BF1CE-AE9D-C11F-FF1C-209F79DA1F71}"/>
            </a:ext>
          </a:extLst>
        </xdr:cNvPr>
        <xdr:cNvCxnSpPr>
          <a:stCxn id="51" idx="3"/>
          <a:endCxn id="89" idx="1"/>
        </xdr:cNvCxnSpPr>
      </xdr:nvCxnSpPr>
      <xdr:spPr>
        <a:xfrm>
          <a:off x="4772025" y="9082088"/>
          <a:ext cx="2524125" cy="962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247649</xdr:colOff>
      <xdr:row>2</xdr:row>
      <xdr:rowOff>57150</xdr:rowOff>
    </xdr:from>
    <xdr:to>
      <xdr:col>24</xdr:col>
      <xdr:colOff>238125</xdr:colOff>
      <xdr:row>12</xdr:row>
      <xdr:rowOff>28575</xdr:rowOff>
    </xdr:to>
    <xdr:sp macro="" textlink="">
      <xdr:nvSpPr>
        <xdr:cNvPr id="2" name="正方形/長方形 1">
          <a:extLst>
            <a:ext uri="{FF2B5EF4-FFF2-40B4-BE49-F238E27FC236}">
              <a16:creationId xmlns:a16="http://schemas.microsoft.com/office/drawing/2014/main" id="{9976968F-90B1-9BAB-F8D7-355380CE457D}"/>
            </a:ext>
          </a:extLst>
        </xdr:cNvPr>
        <xdr:cNvSpPr/>
      </xdr:nvSpPr>
      <xdr:spPr>
        <a:xfrm>
          <a:off x="1504949" y="533400"/>
          <a:ext cx="6276976" cy="23526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AttackBase</a:t>
          </a:r>
        </a:p>
        <a:p>
          <a:pPr algn="l"/>
          <a:r>
            <a:rPr kumimoji="1" lang="ja-JP" altLang="en-US" sz="1100"/>
            <a:t>当たった敵のリスト</a:t>
          </a:r>
          <a:r>
            <a:rPr kumimoji="1" lang="en-US" altLang="ja-JP" sz="1100"/>
            <a:t>(Collidable)</a:t>
          </a:r>
        </a:p>
        <a:p>
          <a:pPr algn="l"/>
          <a:r>
            <a:rPr kumimoji="1" lang="ja-JP" altLang="en-US" sz="1100"/>
            <a:t>攻撃のノックバック距離、攻撃力←プレイヤーの</a:t>
          </a:r>
          <a:r>
            <a:rPr kumimoji="1" lang="en-US" altLang="ja-JP" sz="1100"/>
            <a:t>AttackData</a:t>
          </a:r>
          <a:r>
            <a:rPr kumimoji="1" lang="ja-JP" altLang="en-US" sz="1100"/>
            <a:t>から渡す、敵もどっかから渡す</a:t>
          </a:r>
          <a:endParaRPr kumimoji="1" lang="en-US" altLang="ja-JP" sz="1100"/>
        </a:p>
        <a:p>
          <a:pPr algn="l"/>
          <a:r>
            <a:rPr kumimoji="1" lang="ja-JP" altLang="en-US" sz="1100"/>
            <a:t>生存時間などは迷い</a:t>
          </a:r>
          <a:br>
            <a:rPr kumimoji="1" lang="en-US" altLang="ja-JP" sz="1100"/>
          </a:br>
          <a:r>
            <a:rPr kumimoji="1" lang="ja-JP" altLang="en-US" sz="1100"/>
            <a:t>そもそもこれ一個でよさそう</a:t>
          </a:r>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en-US" altLang="ja-JP" sz="1100"/>
        </a:p>
        <a:p>
          <a:pPr algn="l"/>
          <a:endParaRPr kumimoji="1" lang="ja-JP" altLang="en-US" sz="1100"/>
        </a:p>
      </xdr:txBody>
    </xdr:sp>
    <xdr:clientData/>
  </xdr:twoCellAnchor>
  <xdr:twoCellAnchor>
    <xdr:from>
      <xdr:col>3</xdr:col>
      <xdr:colOff>152400</xdr:colOff>
      <xdr:row>15</xdr:row>
      <xdr:rowOff>152400</xdr:rowOff>
    </xdr:from>
    <xdr:to>
      <xdr:col>9</xdr:col>
      <xdr:colOff>238125</xdr:colOff>
      <xdr:row>23</xdr:row>
      <xdr:rowOff>200025</xdr:rowOff>
    </xdr:to>
    <xdr:sp macro="" textlink="">
      <xdr:nvSpPr>
        <xdr:cNvPr id="3" name="正方形/長方形 2">
          <a:extLst>
            <a:ext uri="{FF2B5EF4-FFF2-40B4-BE49-F238E27FC236}">
              <a16:creationId xmlns:a16="http://schemas.microsoft.com/office/drawing/2014/main" id="{955567FC-79AE-9F46-5366-81F2ADE8CAEF}"/>
            </a:ext>
          </a:extLst>
        </xdr:cNvPr>
        <xdr:cNvSpPr/>
      </xdr:nvSpPr>
      <xdr:spPr>
        <a:xfrm>
          <a:off x="1095375" y="3724275"/>
          <a:ext cx="1971675" cy="1952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1100"/>
            <a:t>PlayerAttack</a:t>
          </a:r>
          <a:br>
            <a:rPr kumimoji="1" lang="en-US" altLang="ja-JP" sz="1100"/>
          </a:br>
          <a:br>
            <a:rPr kumimoji="1" lang="en-US" altLang="ja-JP" sz="1100"/>
          </a:br>
          <a:r>
            <a:rPr kumimoji="1" lang="ja-JP" altLang="en-US" sz="1100"/>
            <a:t>具体的なデータをもらう</a:t>
          </a:r>
          <a:endParaRPr kumimoji="1" lang="en-US" altLang="ja-JP" sz="1100"/>
        </a:p>
        <a:p>
          <a:pPr algn="l"/>
          <a:r>
            <a:rPr kumimoji="1" lang="ja-JP" altLang="en-US" sz="1100"/>
            <a:t>生存時間をきめる</a:t>
          </a:r>
          <a:endParaRPr kumimoji="1" lang="en-US" altLang="ja-JP" sz="1100"/>
        </a:p>
        <a:p>
          <a:pPr algn="l"/>
          <a:endParaRPr kumimoji="1" lang="ja-JP" altLang="en-US" sz="1100"/>
        </a:p>
      </xdr:txBody>
    </xdr:sp>
    <xdr:clientData/>
  </xdr:twoCellAnchor>
  <xdr:twoCellAnchor>
    <xdr:from>
      <xdr:col>6</xdr:col>
      <xdr:colOff>195263</xdr:colOff>
      <xdr:row>12</xdr:row>
      <xdr:rowOff>28575</xdr:rowOff>
    </xdr:from>
    <xdr:to>
      <xdr:col>14</xdr:col>
      <xdr:colOff>242887</xdr:colOff>
      <xdr:row>15</xdr:row>
      <xdr:rowOff>152400</xdr:rowOff>
    </xdr:to>
    <xdr:cxnSp macro="">
      <xdr:nvCxnSpPr>
        <xdr:cNvPr id="5" name="直線矢印コネクタ 4">
          <a:extLst>
            <a:ext uri="{FF2B5EF4-FFF2-40B4-BE49-F238E27FC236}">
              <a16:creationId xmlns:a16="http://schemas.microsoft.com/office/drawing/2014/main" id="{A033F718-35BA-3752-3F6E-75AFBC861E49}"/>
            </a:ext>
          </a:extLst>
        </xdr:cNvPr>
        <xdr:cNvCxnSpPr>
          <a:stCxn id="2" idx="2"/>
          <a:endCxn id="3" idx="0"/>
        </xdr:cNvCxnSpPr>
      </xdr:nvCxnSpPr>
      <xdr:spPr>
        <a:xfrm flipH="1">
          <a:off x="2081213" y="2886075"/>
          <a:ext cx="2562224" cy="838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190500</xdr:colOff>
      <xdr:row>15</xdr:row>
      <xdr:rowOff>133350</xdr:rowOff>
    </xdr:from>
    <xdr:to>
      <xdr:col>24</xdr:col>
      <xdr:colOff>276225</xdr:colOff>
      <xdr:row>23</xdr:row>
      <xdr:rowOff>180975</xdr:rowOff>
    </xdr:to>
    <xdr:sp macro="" textlink="">
      <xdr:nvSpPr>
        <xdr:cNvPr id="7" name="正方形/長方形 6">
          <a:extLst>
            <a:ext uri="{FF2B5EF4-FFF2-40B4-BE49-F238E27FC236}">
              <a16:creationId xmlns:a16="http://schemas.microsoft.com/office/drawing/2014/main" id="{2543105A-5D70-964E-0AD0-C2362A7E31F6}"/>
            </a:ext>
          </a:extLst>
        </xdr:cNvPr>
        <xdr:cNvSpPr/>
      </xdr:nvSpPr>
      <xdr:spPr>
        <a:xfrm>
          <a:off x="5848350" y="3705225"/>
          <a:ext cx="1971675" cy="1952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1100"/>
            <a:t>EnemyAttack</a:t>
          </a:r>
        </a:p>
        <a:p>
          <a:pPr algn="l"/>
          <a:endParaRPr kumimoji="1" lang="en-US" altLang="ja-JP" sz="1100"/>
        </a:p>
        <a:p>
          <a:pPr algn="l"/>
          <a:endParaRPr kumimoji="1" lang="en-US" altLang="ja-JP" sz="1100"/>
        </a:p>
        <a:p>
          <a:pPr algn="l"/>
          <a:r>
            <a:rPr kumimoji="1" lang="ja-JP" altLang="en-US" sz="1100"/>
            <a:t>具体的なデータをもらう</a:t>
          </a:r>
          <a:endParaRPr kumimoji="1" lang="en-US" altLang="ja-JP" sz="1100"/>
        </a:p>
        <a:p>
          <a:pPr algn="l"/>
          <a:r>
            <a:rPr kumimoji="1" lang="ja-JP" altLang="en-US" sz="1100"/>
            <a:t>生存時間をきめるスキル技</a:t>
          </a:r>
          <a:endParaRPr kumimoji="1" lang="en-US" altLang="ja-JP" sz="1100"/>
        </a:p>
        <a:p>
          <a:pPr algn="l"/>
          <a:endParaRPr kumimoji="1" lang="en-US" altLang="ja-JP" sz="1100"/>
        </a:p>
        <a:p>
          <a:pPr algn="l"/>
          <a:endParaRPr kumimoji="1" lang="ja-JP" altLang="en-US" sz="1100"/>
        </a:p>
      </xdr:txBody>
    </xdr:sp>
    <xdr:clientData/>
  </xdr:twoCellAnchor>
  <xdr:twoCellAnchor>
    <xdr:from>
      <xdr:col>14</xdr:col>
      <xdr:colOff>242887</xdr:colOff>
      <xdr:row>12</xdr:row>
      <xdr:rowOff>28575</xdr:rowOff>
    </xdr:from>
    <xdr:to>
      <xdr:col>21</xdr:col>
      <xdr:colOff>233363</xdr:colOff>
      <xdr:row>15</xdr:row>
      <xdr:rowOff>133350</xdr:rowOff>
    </xdr:to>
    <xdr:cxnSp macro="">
      <xdr:nvCxnSpPr>
        <xdr:cNvPr id="10" name="直線矢印コネクタ 9">
          <a:extLst>
            <a:ext uri="{FF2B5EF4-FFF2-40B4-BE49-F238E27FC236}">
              <a16:creationId xmlns:a16="http://schemas.microsoft.com/office/drawing/2014/main" id="{BA140AA9-2668-66D5-D88F-CBF290BF3D79}"/>
            </a:ext>
          </a:extLst>
        </xdr:cNvPr>
        <xdr:cNvCxnSpPr>
          <a:stCxn id="2" idx="2"/>
          <a:endCxn id="7" idx="0"/>
        </xdr:cNvCxnSpPr>
      </xdr:nvCxnSpPr>
      <xdr:spPr>
        <a:xfrm>
          <a:off x="4643437" y="2886075"/>
          <a:ext cx="2190751" cy="819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272142</xdr:colOff>
      <xdr:row>13</xdr:row>
      <xdr:rowOff>149679</xdr:rowOff>
    </xdr:from>
    <xdr:to>
      <xdr:col>39</xdr:col>
      <xdr:colOff>13607</xdr:colOff>
      <xdr:row>19</xdr:row>
      <xdr:rowOff>95250</xdr:rowOff>
    </xdr:to>
    <xdr:sp macro="" textlink="">
      <xdr:nvSpPr>
        <xdr:cNvPr id="4" name="正方形/長方形 3">
          <a:extLst>
            <a:ext uri="{FF2B5EF4-FFF2-40B4-BE49-F238E27FC236}">
              <a16:creationId xmlns:a16="http://schemas.microsoft.com/office/drawing/2014/main" id="{55C35913-0911-5F9E-CAC9-8CA6C39708E2}"/>
            </a:ext>
          </a:extLst>
        </xdr:cNvPr>
        <xdr:cNvSpPr/>
      </xdr:nvSpPr>
      <xdr:spPr>
        <a:xfrm>
          <a:off x="9974035" y="3333750"/>
          <a:ext cx="2245179" cy="141514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en-US" altLang="ja-JP" sz="1100"/>
            <a:t>Character</a:t>
          </a:r>
          <a:endParaRPr kumimoji="1" lang="ja-JP" altLang="en-US" sz="1100"/>
        </a:p>
      </xdr:txBody>
    </xdr:sp>
    <xdr:clientData/>
  </xdr:twoCellAnchor>
  <xdr:twoCellAnchor>
    <xdr:from>
      <xdr:col>32</xdr:col>
      <xdr:colOff>97972</xdr:colOff>
      <xdr:row>25</xdr:row>
      <xdr:rowOff>125186</xdr:rowOff>
    </xdr:from>
    <xdr:to>
      <xdr:col>37</xdr:col>
      <xdr:colOff>68036</xdr:colOff>
      <xdr:row>28</xdr:row>
      <xdr:rowOff>204107</xdr:rowOff>
    </xdr:to>
    <xdr:sp macro="" textlink="">
      <xdr:nvSpPr>
        <xdr:cNvPr id="6" name="正方形/長方形 5">
          <a:extLst>
            <a:ext uri="{FF2B5EF4-FFF2-40B4-BE49-F238E27FC236}">
              <a16:creationId xmlns:a16="http://schemas.microsoft.com/office/drawing/2014/main" id="{75F5DD45-549A-BE84-13E2-3113F25B4AFA}"/>
            </a:ext>
          </a:extLst>
        </xdr:cNvPr>
        <xdr:cNvSpPr/>
      </xdr:nvSpPr>
      <xdr:spPr>
        <a:xfrm>
          <a:off x="10112829" y="6248400"/>
          <a:ext cx="1534886" cy="81370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t>押し戻しの</a:t>
          </a:r>
          <a:br>
            <a:rPr kumimoji="1" lang="en-US" altLang="ja-JP" sz="1100"/>
          </a:br>
          <a:r>
            <a:rPr kumimoji="1" lang="ja-JP" altLang="en-US" sz="1100"/>
            <a:t>当たり判定</a:t>
          </a:r>
          <a:r>
            <a:rPr kumimoji="1" lang="en-US" altLang="ja-JP" sz="1100"/>
            <a:t>Collider</a:t>
          </a:r>
          <a:br>
            <a:rPr kumimoji="1" lang="en-US" altLang="ja-JP" sz="1100"/>
          </a:br>
          <a:r>
            <a:rPr kumimoji="1" lang="ja-JP" altLang="ja-JP" sz="1100">
              <a:solidFill>
                <a:schemeClr val="lt1"/>
              </a:solidFill>
              <a:effectLst/>
              <a:latin typeface="+mn-lt"/>
              <a:ea typeface="+mn-ea"/>
              <a:cs typeface="+mn-cs"/>
            </a:rPr>
            <a:t>常にある</a:t>
          </a:r>
          <a:r>
            <a:rPr kumimoji="1" lang="en-US" altLang="ja-JP" sz="1100">
              <a:solidFill>
                <a:schemeClr val="lt1"/>
              </a:solidFill>
              <a:effectLst/>
              <a:latin typeface="+mn-lt"/>
              <a:ea typeface="+mn-ea"/>
              <a:cs typeface="+mn-cs"/>
            </a:rPr>
            <a:t>ON/OFF</a:t>
          </a:r>
          <a:endParaRPr kumimoji="1" lang="en-US" altLang="ja-JP" sz="1100"/>
        </a:p>
        <a:p>
          <a:pPr algn="l"/>
          <a:endParaRPr kumimoji="1" lang="ja-JP" altLang="en-US" sz="1100"/>
        </a:p>
      </xdr:txBody>
    </xdr:sp>
    <xdr:clientData/>
  </xdr:twoCellAnchor>
  <xdr:twoCellAnchor>
    <xdr:from>
      <xdr:col>38</xdr:col>
      <xdr:colOff>231321</xdr:colOff>
      <xdr:row>25</xdr:row>
      <xdr:rowOff>108857</xdr:rowOff>
    </xdr:from>
    <xdr:to>
      <xdr:col>43</xdr:col>
      <xdr:colOff>201386</xdr:colOff>
      <xdr:row>28</xdr:row>
      <xdr:rowOff>187778</xdr:rowOff>
    </xdr:to>
    <xdr:sp macro="" textlink="">
      <xdr:nvSpPr>
        <xdr:cNvPr id="9" name="正方形/長方形 8">
          <a:extLst>
            <a:ext uri="{FF2B5EF4-FFF2-40B4-BE49-F238E27FC236}">
              <a16:creationId xmlns:a16="http://schemas.microsoft.com/office/drawing/2014/main" id="{F1D8097C-4633-4B47-80D4-EE8820FA9CC8}"/>
            </a:ext>
          </a:extLst>
        </xdr:cNvPr>
        <xdr:cNvSpPr/>
      </xdr:nvSpPr>
      <xdr:spPr>
        <a:xfrm>
          <a:off x="12123964" y="6232071"/>
          <a:ext cx="1534886" cy="81370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t>やられ</a:t>
          </a:r>
          <a:br>
            <a:rPr kumimoji="1" lang="en-US" altLang="ja-JP" sz="1100"/>
          </a:br>
          <a:r>
            <a:rPr kumimoji="1" lang="ja-JP" altLang="en-US" sz="1100"/>
            <a:t>判定</a:t>
          </a:r>
          <a:r>
            <a:rPr kumimoji="1" lang="en-US" altLang="ja-JP" sz="1100"/>
            <a:t>Collider</a:t>
          </a:r>
          <a:br>
            <a:rPr kumimoji="1" lang="en-US" altLang="ja-JP" sz="1100"/>
          </a:br>
          <a:r>
            <a:rPr kumimoji="1" lang="ja-JP" altLang="en-US" sz="1100"/>
            <a:t>常にある</a:t>
          </a:r>
          <a:r>
            <a:rPr kumimoji="1" lang="en-US" altLang="ja-JP" sz="1100"/>
            <a:t>ON/OFF</a:t>
          </a:r>
        </a:p>
        <a:p>
          <a:pPr algn="l"/>
          <a:endParaRPr kumimoji="1" lang="ja-JP" altLang="en-US" sz="1100"/>
        </a:p>
      </xdr:txBody>
    </xdr:sp>
    <xdr:clientData/>
  </xdr:twoCellAnchor>
  <xdr:twoCellAnchor>
    <xdr:from>
      <xdr:col>35</xdr:col>
      <xdr:colOff>142875</xdr:colOff>
      <xdr:row>19</xdr:row>
      <xdr:rowOff>95250</xdr:rowOff>
    </xdr:from>
    <xdr:to>
      <xdr:col>41</xdr:col>
      <xdr:colOff>59871</xdr:colOff>
      <xdr:row>25</xdr:row>
      <xdr:rowOff>108857</xdr:rowOff>
    </xdr:to>
    <xdr:cxnSp macro="">
      <xdr:nvCxnSpPr>
        <xdr:cNvPr id="11" name="直線矢印コネクタ 10">
          <a:extLst>
            <a:ext uri="{FF2B5EF4-FFF2-40B4-BE49-F238E27FC236}">
              <a16:creationId xmlns:a16="http://schemas.microsoft.com/office/drawing/2014/main" id="{1A03EB29-5809-4A44-8689-CC90B57AA4F7}"/>
            </a:ext>
          </a:extLst>
        </xdr:cNvPr>
        <xdr:cNvCxnSpPr>
          <a:stCxn id="4" idx="2"/>
          <a:endCxn id="9" idx="0"/>
        </xdr:cNvCxnSpPr>
      </xdr:nvCxnSpPr>
      <xdr:spPr>
        <a:xfrm>
          <a:off x="11096625" y="4748893"/>
          <a:ext cx="1794782" cy="14831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239486</xdr:colOff>
      <xdr:row>19</xdr:row>
      <xdr:rowOff>95250</xdr:rowOff>
    </xdr:from>
    <xdr:to>
      <xdr:col>35</xdr:col>
      <xdr:colOff>142875</xdr:colOff>
      <xdr:row>25</xdr:row>
      <xdr:rowOff>125186</xdr:rowOff>
    </xdr:to>
    <xdr:cxnSp macro="">
      <xdr:nvCxnSpPr>
        <xdr:cNvPr id="15" name="直線矢印コネクタ 14">
          <a:extLst>
            <a:ext uri="{FF2B5EF4-FFF2-40B4-BE49-F238E27FC236}">
              <a16:creationId xmlns:a16="http://schemas.microsoft.com/office/drawing/2014/main" id="{D3F26736-F687-4F47-A3AF-255F380F201E}"/>
            </a:ext>
          </a:extLst>
        </xdr:cNvPr>
        <xdr:cNvCxnSpPr>
          <a:stCxn id="4" idx="2"/>
          <a:endCxn id="6" idx="0"/>
        </xdr:cNvCxnSpPr>
      </xdr:nvCxnSpPr>
      <xdr:spPr>
        <a:xfrm flipH="1">
          <a:off x="10880272" y="4748893"/>
          <a:ext cx="216353" cy="14995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142875</xdr:colOff>
      <xdr:row>19</xdr:row>
      <xdr:rowOff>95250</xdr:rowOff>
    </xdr:from>
    <xdr:to>
      <xdr:col>48</xdr:col>
      <xdr:colOff>46265</xdr:colOff>
      <xdr:row>25</xdr:row>
      <xdr:rowOff>81644</xdr:rowOff>
    </xdr:to>
    <xdr:cxnSp macro="">
      <xdr:nvCxnSpPr>
        <xdr:cNvPr id="18" name="直線矢印コネクタ 17">
          <a:extLst>
            <a:ext uri="{FF2B5EF4-FFF2-40B4-BE49-F238E27FC236}">
              <a16:creationId xmlns:a16="http://schemas.microsoft.com/office/drawing/2014/main" id="{115D434C-23B9-4028-845D-04BACFD15C8A}"/>
            </a:ext>
          </a:extLst>
        </xdr:cNvPr>
        <xdr:cNvCxnSpPr>
          <a:stCxn id="4" idx="2"/>
          <a:endCxn id="21" idx="0"/>
        </xdr:cNvCxnSpPr>
      </xdr:nvCxnSpPr>
      <xdr:spPr>
        <a:xfrm>
          <a:off x="11096625" y="4748893"/>
          <a:ext cx="3971926" cy="14559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217715</xdr:colOff>
      <xdr:row>25</xdr:row>
      <xdr:rowOff>81644</xdr:rowOff>
    </xdr:from>
    <xdr:to>
      <xdr:col>50</xdr:col>
      <xdr:colOff>187780</xdr:colOff>
      <xdr:row>28</xdr:row>
      <xdr:rowOff>160565</xdr:rowOff>
    </xdr:to>
    <xdr:sp macro="" textlink="">
      <xdr:nvSpPr>
        <xdr:cNvPr id="21" name="正方形/長方形 20">
          <a:extLst>
            <a:ext uri="{FF2B5EF4-FFF2-40B4-BE49-F238E27FC236}">
              <a16:creationId xmlns:a16="http://schemas.microsoft.com/office/drawing/2014/main" id="{2E6300D1-C695-421E-BF17-F42F0CB94819}"/>
            </a:ext>
          </a:extLst>
        </xdr:cNvPr>
        <xdr:cNvSpPr/>
      </xdr:nvSpPr>
      <xdr:spPr>
        <a:xfrm>
          <a:off x="14301108" y="6204858"/>
          <a:ext cx="1534886" cy="81370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t>攻撃</a:t>
          </a:r>
          <a:br>
            <a:rPr kumimoji="1" lang="en-US" altLang="ja-JP" sz="1100"/>
          </a:br>
          <a:r>
            <a:rPr kumimoji="1" lang="ja-JP" altLang="en-US" sz="1100"/>
            <a:t>判定</a:t>
          </a:r>
          <a:r>
            <a:rPr kumimoji="1" lang="en-US" altLang="ja-JP" sz="1100"/>
            <a:t>Collider</a:t>
          </a:r>
          <a:br>
            <a:rPr kumimoji="1" lang="en-US" altLang="ja-JP" sz="1100"/>
          </a:br>
          <a:r>
            <a:rPr kumimoji="1" lang="ja-JP" altLang="en-US" sz="1100"/>
            <a:t>毎回作る</a:t>
          </a:r>
          <a:endParaRPr kumimoji="1" lang="en-US" altLang="ja-JP" sz="1100"/>
        </a:p>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74C6-79B8-40DF-BFBC-1FA41083861E}">
  <dimension ref="B3:E27"/>
  <sheetViews>
    <sheetView topLeftCell="A10" workbookViewId="0">
      <selection activeCell="C24" sqref="C24"/>
    </sheetView>
  </sheetViews>
  <sheetFormatPr defaultRowHeight="18.75"/>
  <cols>
    <col min="2" max="2" width="33" bestFit="1" customWidth="1"/>
    <col min="3" max="3" width="15" bestFit="1" customWidth="1"/>
    <col min="4" max="4" width="33.25" bestFit="1" customWidth="1"/>
    <col min="5" max="5" width="17.25" bestFit="1" customWidth="1"/>
  </cols>
  <sheetData>
    <row r="3" spans="2:5">
      <c r="B3" s="4" t="s">
        <v>4</v>
      </c>
      <c r="C3">
        <f>SUM(作業工数見積もり!E3:E76)</f>
        <v>187</v>
      </c>
    </row>
    <row r="4" spans="2:5">
      <c r="B4" s="5" t="s">
        <v>6</v>
      </c>
      <c r="C4">
        <f>SUMIF(作業工数見積もり!G3:G23,"完了",作業工数見積もり!E3:E23)</f>
        <v>25</v>
      </c>
      <c r="D4" t="s">
        <v>7</v>
      </c>
    </row>
    <row r="5" spans="2:5">
      <c r="B5" s="6" t="s">
        <v>8</v>
      </c>
      <c r="C5" s="2">
        <f ca="1">NETWORKDAYS(C6,C7)</f>
        <v>443</v>
      </c>
      <c r="D5" s="3">
        <f ca="1" xml:space="preserve"> C4 / C5</f>
        <v>5.6433408577878104E-2</v>
      </c>
    </row>
    <row r="6" spans="2:5">
      <c r="B6" s="7" t="s">
        <v>9</v>
      </c>
      <c r="C6" s="1">
        <f>DATE(2024,11,7)</f>
        <v>45603</v>
      </c>
    </row>
    <row r="7" spans="2:5">
      <c r="B7" s="8" t="s">
        <v>11</v>
      </c>
      <c r="C7" s="1">
        <f ca="1">TODAY()</f>
        <v>46223</v>
      </c>
    </row>
    <row r="9" spans="2:5">
      <c r="D9" t="s">
        <v>12</v>
      </c>
      <c r="E9" t="s">
        <v>13</v>
      </c>
    </row>
    <row r="10" spans="2:5">
      <c r="B10" s="4" t="s">
        <v>15</v>
      </c>
      <c r="C10" s="1">
        <f>DATE(2024,12,20)</f>
        <v>45646</v>
      </c>
      <c r="D10" s="2">
        <f ca="1">NETWORKDAYS(TODAY(),C10)</f>
        <v>-412</v>
      </c>
      <c r="E10" s="3">
        <f ca="1">($C$3 - $C$4) / D10</f>
        <v>-0.39320388349514562</v>
      </c>
    </row>
    <row r="11" spans="2:5">
      <c r="B11" s="9" t="s">
        <v>16</v>
      </c>
      <c r="C11" s="1">
        <f>DATE(2025,1,17)</f>
        <v>45674</v>
      </c>
      <c r="D11" s="2">
        <f ca="1">NETWORKDAYS(TODAY(),C11)</f>
        <v>-392</v>
      </c>
      <c r="E11" s="3">
        <f ca="1">($C$3 - $C$4) / D11</f>
        <v>-0.41326530612244899</v>
      </c>
    </row>
    <row r="12" spans="2:5">
      <c r="B12" s="6" t="s">
        <v>17</v>
      </c>
      <c r="C12" s="1">
        <f>DATE(2025,2,3)</f>
        <v>45691</v>
      </c>
      <c r="D12" s="2">
        <f ca="1">NETWORKDAYS(TODAY(),C12)</f>
        <v>-381</v>
      </c>
      <c r="E12" s="3">
        <f ca="1">($C$3 - $C$4) / D12</f>
        <v>-0.42519685039370081</v>
      </c>
    </row>
    <row r="18" spans="2:4">
      <c r="B18" s="12" t="s">
        <v>1</v>
      </c>
      <c r="D18" t="s">
        <v>23</v>
      </c>
    </row>
    <row r="19" spans="2:4">
      <c r="B19" s="10" t="s">
        <v>19</v>
      </c>
      <c r="D19" t="s">
        <v>24</v>
      </c>
    </row>
    <row r="20" spans="2:4">
      <c r="B20" s="10" t="s">
        <v>20</v>
      </c>
      <c r="D20" t="s">
        <v>25</v>
      </c>
    </row>
    <row r="21" spans="2:4">
      <c r="B21" s="10" t="s">
        <v>21</v>
      </c>
      <c r="D21" t="s">
        <v>26</v>
      </c>
    </row>
    <row r="22" spans="2:4">
      <c r="B22" s="11" t="s">
        <v>22</v>
      </c>
      <c r="D22" t="s">
        <v>27</v>
      </c>
    </row>
    <row r="24" spans="2:4">
      <c r="B24" s="10" t="s">
        <v>28</v>
      </c>
      <c r="C24" s="24">
        <v>45631</v>
      </c>
    </row>
    <row r="25" spans="2:4">
      <c r="B25" s="10" t="s">
        <v>0</v>
      </c>
      <c r="C25" s="24">
        <v>45662</v>
      </c>
    </row>
    <row r="26" spans="2:4">
      <c r="B26" s="10" t="s">
        <v>29</v>
      </c>
      <c r="C26" s="24">
        <v>45677</v>
      </c>
    </row>
    <row r="27" spans="2:4">
      <c r="B27" s="10" t="s">
        <v>30</v>
      </c>
      <c r="C27" s="24">
        <v>45682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57"/>
  <sheetViews>
    <sheetView zoomScale="85" zoomScaleNormal="85" workbookViewId="0">
      <selection activeCell="G42" sqref="G42"/>
    </sheetView>
  </sheetViews>
  <sheetFormatPr defaultRowHeight="18.75" outlineLevelRow="1"/>
  <cols>
    <col min="1" max="1" width="17.125" style="10" bestFit="1" customWidth="1"/>
    <col min="2" max="2" width="45.875" style="10" bestFit="1" customWidth="1"/>
    <col min="3" max="3" width="11.75" style="16" bestFit="1" customWidth="1"/>
    <col min="4" max="4" width="15.25" style="16" bestFit="1" customWidth="1"/>
    <col min="5" max="6" width="13.5" style="16" bestFit="1" customWidth="1"/>
    <col min="7" max="7" width="15.25" style="16" bestFit="1" customWidth="1"/>
    <col min="8" max="8" width="9" style="10"/>
    <col min="9" max="9" width="17.125" style="10" bestFit="1" customWidth="1"/>
    <col min="10" max="11" width="11" style="10" bestFit="1" customWidth="1"/>
    <col min="12" max="12" width="9" style="10" bestFit="1" customWidth="1"/>
    <col min="13" max="13" width="9" style="10"/>
    <col min="14" max="14" width="18.375" style="10" bestFit="1" customWidth="1"/>
    <col min="15" max="15" width="9" style="11"/>
    <col min="16" max="16384" width="9" style="10"/>
  </cols>
  <sheetData>
    <row r="1" spans="1:14">
      <c r="A1" s="10" t="s">
        <v>43</v>
      </c>
      <c r="B1" s="10" t="s">
        <v>45</v>
      </c>
    </row>
    <row r="2" spans="1:14">
      <c r="A2" s="14" t="s">
        <v>31</v>
      </c>
      <c r="B2" s="14" t="s">
        <v>32</v>
      </c>
      <c r="C2" s="15" t="s">
        <v>1</v>
      </c>
      <c r="D2" s="15" t="s">
        <v>2</v>
      </c>
      <c r="E2" s="15" t="s">
        <v>33</v>
      </c>
      <c r="F2" s="15" t="s">
        <v>3</v>
      </c>
      <c r="G2" s="15" t="s">
        <v>34</v>
      </c>
      <c r="J2" s="10" t="s">
        <v>59</v>
      </c>
      <c r="K2" s="10" t="s">
        <v>60</v>
      </c>
      <c r="L2" s="10" t="s">
        <v>58</v>
      </c>
      <c r="M2" s="10" t="s">
        <v>294</v>
      </c>
      <c r="N2" s="10" t="s">
        <v>299</v>
      </c>
    </row>
    <row r="3" spans="1:14" ht="39.75" customHeight="1">
      <c r="A3" s="17" t="s">
        <v>35</v>
      </c>
      <c r="B3" s="10" t="s">
        <v>47</v>
      </c>
      <c r="C3" s="16" t="s">
        <v>5</v>
      </c>
      <c r="D3" s="16" t="s">
        <v>18</v>
      </c>
      <c r="E3" s="16">
        <v>0</v>
      </c>
      <c r="G3" s="16" t="s">
        <v>39</v>
      </c>
      <c r="I3" s="25" t="s">
        <v>61</v>
      </c>
      <c r="J3" s="10">
        <f>SUM(J4,J5,J6)</f>
        <v>187</v>
      </c>
      <c r="K3" s="10">
        <f>SUMIFS(E3:E55,G3:G55,"未着手")</f>
        <v>109</v>
      </c>
      <c r="L3" s="10">
        <f>SUM(F3:F43)</f>
        <v>45</v>
      </c>
      <c r="M3" s="10">
        <f ca="1">INT(J11 - TODAY())</f>
        <v>42</v>
      </c>
      <c r="N3" s="10">
        <f ca="1">K3/M3</f>
        <v>2.5952380952380953</v>
      </c>
    </row>
    <row r="4" spans="1:14" ht="26.25" customHeight="1">
      <c r="A4" s="17" t="s">
        <v>35</v>
      </c>
      <c r="B4" s="10" t="s">
        <v>48</v>
      </c>
      <c r="C4" s="16" t="s">
        <v>14</v>
      </c>
      <c r="D4" s="16" t="s">
        <v>10</v>
      </c>
      <c r="E4" s="16">
        <v>0</v>
      </c>
      <c r="G4" s="16" t="s">
        <v>39</v>
      </c>
      <c r="I4" s="26" t="s">
        <v>28</v>
      </c>
      <c r="J4" s="29">
        <f>SUMIF(D3:D55,I4,E3:E55)</f>
        <v>94</v>
      </c>
      <c r="K4" s="10">
        <f>SUMIFS(E3:E55,G3:G55,"未着手",D3:D55,I4)</f>
        <v>35</v>
      </c>
      <c r="L4" s="10">
        <f>SUMIFS(F3:F43,D3:D43,I4)</f>
        <v>45</v>
      </c>
      <c r="M4" s="10">
        <f ca="1">INT(J12-TODAY())</f>
        <v>-3</v>
      </c>
      <c r="N4" s="10">
        <f ca="1">J4/M4</f>
        <v>-31.333333333333332</v>
      </c>
    </row>
    <row r="5" spans="1:14" ht="16.5" customHeight="1">
      <c r="A5" s="17" t="s">
        <v>35</v>
      </c>
      <c r="B5" s="10" t="s">
        <v>49</v>
      </c>
      <c r="C5" s="16" t="s">
        <v>14</v>
      </c>
      <c r="D5" s="16" t="s">
        <v>10</v>
      </c>
      <c r="E5" s="16">
        <v>0</v>
      </c>
      <c r="G5" s="16" t="s">
        <v>39</v>
      </c>
      <c r="I5" s="27" t="s">
        <v>0</v>
      </c>
      <c r="J5" s="29">
        <f>SUMIF(D3:D55,I5,E3:E55)</f>
        <v>77</v>
      </c>
      <c r="K5" s="10">
        <f>SUMIFS(E3:E55,G3:G55,"未着手",D3:D55,I5)</f>
        <v>59</v>
      </c>
      <c r="L5" s="10">
        <f>SUMIFS(F4:F47,D4:D47,I5)</f>
        <v>0</v>
      </c>
      <c r="M5" s="10">
        <f t="shared" ref="M5:M6" ca="1" si="0">INT(J13-TODAY())</f>
        <v>21</v>
      </c>
      <c r="N5" s="10">
        <f t="shared" ref="N5:N6" ca="1" si="1">J5/M5</f>
        <v>3.6666666666666665</v>
      </c>
    </row>
    <row r="6" spans="1:14" ht="19.5" customHeight="1">
      <c r="A6" s="17" t="s">
        <v>35</v>
      </c>
      <c r="B6" s="10" t="s">
        <v>36</v>
      </c>
      <c r="C6" s="16" t="s">
        <v>14</v>
      </c>
      <c r="D6" s="16" t="s">
        <v>10</v>
      </c>
      <c r="E6" s="16">
        <v>0</v>
      </c>
      <c r="G6" s="16" t="s">
        <v>39</v>
      </c>
      <c r="I6" s="28" t="s">
        <v>29</v>
      </c>
      <c r="J6" s="29">
        <f>SUMIF(D3:D55,I6,E3:E55)</f>
        <v>16</v>
      </c>
      <c r="K6" s="10">
        <f>SUMIFS(E3:E55,G3:G55,"未着手",D3:D55,I6)</f>
        <v>15</v>
      </c>
      <c r="L6" s="10">
        <f>SUMIFS(F5:F47,D5:D47,I6)</f>
        <v>1</v>
      </c>
      <c r="M6" s="10">
        <f t="shared" ca="1" si="0"/>
        <v>38</v>
      </c>
      <c r="N6" s="10">
        <f t="shared" ca="1" si="1"/>
        <v>0.42105263157894735</v>
      </c>
    </row>
    <row r="7" spans="1:14">
      <c r="A7" s="18" t="s">
        <v>37</v>
      </c>
      <c r="B7" s="10" t="s">
        <v>70</v>
      </c>
      <c r="C7" s="16" t="s">
        <v>5</v>
      </c>
      <c r="D7" s="16" t="s">
        <v>18</v>
      </c>
      <c r="E7" s="16">
        <v>3</v>
      </c>
      <c r="G7" s="16" t="s">
        <v>306</v>
      </c>
    </row>
    <row r="8" spans="1:14" outlineLevel="1">
      <c r="A8" s="19" t="s">
        <v>44</v>
      </c>
      <c r="B8" s="10" t="s">
        <v>250</v>
      </c>
      <c r="C8" s="16" t="s">
        <v>5</v>
      </c>
      <c r="D8" s="16" t="s">
        <v>10</v>
      </c>
      <c r="E8" s="16">
        <v>6</v>
      </c>
      <c r="G8" s="16" t="s">
        <v>306</v>
      </c>
    </row>
    <row r="9" spans="1:14" hidden="1" outlineLevel="1">
      <c r="A9" s="19" t="s">
        <v>44</v>
      </c>
      <c r="B9" s="10" t="s">
        <v>251</v>
      </c>
      <c r="C9" s="16" t="s">
        <v>5</v>
      </c>
      <c r="D9" s="16" t="s">
        <v>18</v>
      </c>
      <c r="E9" s="16">
        <v>2</v>
      </c>
      <c r="F9" s="16">
        <v>2</v>
      </c>
      <c r="G9" s="16" t="s">
        <v>57</v>
      </c>
    </row>
    <row r="10" spans="1:14" outlineLevel="1">
      <c r="A10" s="19" t="s">
        <v>44</v>
      </c>
      <c r="B10" s="10" t="s">
        <v>252</v>
      </c>
      <c r="C10" s="16" t="s">
        <v>5</v>
      </c>
      <c r="D10" s="16" t="s">
        <v>10</v>
      </c>
      <c r="E10" s="16">
        <v>12</v>
      </c>
      <c r="G10" s="16" t="s">
        <v>306</v>
      </c>
      <c r="I10" s="19" t="s">
        <v>294</v>
      </c>
    </row>
    <row r="11" spans="1:14" outlineLevel="1">
      <c r="A11" s="19" t="s">
        <v>44</v>
      </c>
      <c r="B11" s="10" t="s">
        <v>253</v>
      </c>
      <c r="C11" s="16" t="s">
        <v>257</v>
      </c>
      <c r="D11" s="16" t="s">
        <v>18</v>
      </c>
      <c r="E11" s="16">
        <v>2</v>
      </c>
      <c r="G11" s="16" t="s">
        <v>39</v>
      </c>
      <c r="I11" s="10" t="s">
        <v>295</v>
      </c>
      <c r="J11" s="50">
        <v>46265</v>
      </c>
    </row>
    <row r="12" spans="1:14" hidden="1">
      <c r="A12" s="19" t="s">
        <v>44</v>
      </c>
      <c r="B12" s="10" t="s">
        <v>254</v>
      </c>
      <c r="C12" s="16" t="s">
        <v>257</v>
      </c>
      <c r="D12" s="16" t="s">
        <v>18</v>
      </c>
      <c r="E12" s="16">
        <v>12</v>
      </c>
      <c r="F12" s="16">
        <v>4</v>
      </c>
      <c r="G12" s="16" t="s">
        <v>57</v>
      </c>
      <c r="I12" s="10" t="s">
        <v>296</v>
      </c>
      <c r="J12" s="51">
        <v>46220</v>
      </c>
    </row>
    <row r="13" spans="1:14" hidden="1">
      <c r="A13" s="19" t="s">
        <v>44</v>
      </c>
      <c r="B13" s="10" t="s">
        <v>255</v>
      </c>
      <c r="C13" s="16" t="s">
        <v>5</v>
      </c>
      <c r="D13" s="16" t="s">
        <v>18</v>
      </c>
      <c r="E13" s="16">
        <v>1</v>
      </c>
      <c r="F13" s="16">
        <v>1</v>
      </c>
      <c r="G13" s="16" t="s">
        <v>57</v>
      </c>
      <c r="I13" s="10" t="s">
        <v>297</v>
      </c>
      <c r="J13" s="51">
        <v>46244</v>
      </c>
    </row>
    <row r="14" spans="1:14" hidden="1">
      <c r="A14" s="19" t="s">
        <v>44</v>
      </c>
      <c r="B14" s="10" t="s">
        <v>258</v>
      </c>
      <c r="C14" s="16" t="s">
        <v>5</v>
      </c>
      <c r="D14" s="16" t="s">
        <v>18</v>
      </c>
      <c r="E14" s="16">
        <v>2</v>
      </c>
      <c r="G14" s="16" t="s">
        <v>57</v>
      </c>
      <c r="I14" s="10" t="s">
        <v>298</v>
      </c>
      <c r="J14" s="51">
        <v>46261</v>
      </c>
    </row>
    <row r="15" spans="1:14" hidden="1">
      <c r="A15" s="19" t="s">
        <v>44</v>
      </c>
      <c r="B15" s="10" t="s">
        <v>259</v>
      </c>
      <c r="C15" s="16" t="s">
        <v>5</v>
      </c>
      <c r="D15" s="16" t="s">
        <v>18</v>
      </c>
      <c r="E15" s="16">
        <v>2</v>
      </c>
      <c r="F15" s="16">
        <v>2</v>
      </c>
      <c r="G15" s="16" t="s">
        <v>57</v>
      </c>
    </row>
    <row r="16" spans="1:14">
      <c r="A16" s="19" t="s">
        <v>44</v>
      </c>
      <c r="B16" s="10" t="s">
        <v>256</v>
      </c>
      <c r="C16" s="16" t="s">
        <v>14</v>
      </c>
      <c r="D16" s="16" t="s">
        <v>18</v>
      </c>
      <c r="G16" s="16" t="s">
        <v>39</v>
      </c>
    </row>
    <row r="17" spans="1:7" hidden="1">
      <c r="A17" s="19" t="s">
        <v>44</v>
      </c>
      <c r="B17" s="10" t="s">
        <v>387</v>
      </c>
      <c r="C17" s="16" t="s">
        <v>5</v>
      </c>
      <c r="D17" s="16" t="s">
        <v>18</v>
      </c>
      <c r="E17" s="16">
        <v>1</v>
      </c>
      <c r="F17" s="16">
        <v>1</v>
      </c>
      <c r="G17" s="16" t="s">
        <v>57</v>
      </c>
    </row>
    <row r="18" spans="1:7" hidden="1">
      <c r="A18" s="19" t="s">
        <v>44</v>
      </c>
      <c r="B18" s="10" t="s">
        <v>307</v>
      </c>
      <c r="C18" s="16" t="s">
        <v>5</v>
      </c>
      <c r="D18" s="16" t="s">
        <v>18</v>
      </c>
      <c r="E18" s="16">
        <v>2</v>
      </c>
      <c r="F18" s="16">
        <v>2</v>
      </c>
      <c r="G18" s="16" t="s">
        <v>57</v>
      </c>
    </row>
    <row r="19" spans="1:7" hidden="1">
      <c r="A19" s="19" t="s">
        <v>44</v>
      </c>
      <c r="B19" s="10" t="s">
        <v>335</v>
      </c>
      <c r="C19" s="16" t="s">
        <v>5</v>
      </c>
      <c r="D19" s="16" t="s">
        <v>18</v>
      </c>
    </row>
    <row r="20" spans="1:7" hidden="1">
      <c r="A20" s="19" t="s">
        <v>44</v>
      </c>
      <c r="B20" s="10" t="s">
        <v>336</v>
      </c>
      <c r="C20" s="16" t="s">
        <v>5</v>
      </c>
      <c r="D20" s="16" t="s">
        <v>18</v>
      </c>
    </row>
    <row r="21" spans="1:7">
      <c r="A21" s="19" t="s">
        <v>44</v>
      </c>
      <c r="B21" s="10" t="s">
        <v>260</v>
      </c>
      <c r="C21" s="16" t="s">
        <v>5</v>
      </c>
      <c r="D21" s="16" t="s">
        <v>18</v>
      </c>
      <c r="E21" s="16">
        <v>8</v>
      </c>
      <c r="G21" s="16" t="s">
        <v>39</v>
      </c>
    </row>
    <row r="22" spans="1:7" hidden="1">
      <c r="A22" s="20" t="s">
        <v>46</v>
      </c>
      <c r="B22" s="10" t="s">
        <v>261</v>
      </c>
      <c r="C22" s="16" t="s">
        <v>5</v>
      </c>
      <c r="D22" s="16" t="s">
        <v>18</v>
      </c>
      <c r="E22" s="16">
        <v>3</v>
      </c>
      <c r="F22" s="16">
        <v>3</v>
      </c>
      <c r="G22" s="16" t="s">
        <v>57</v>
      </c>
    </row>
    <row r="23" spans="1:7">
      <c r="A23" s="20" t="s">
        <v>46</v>
      </c>
      <c r="B23" s="10" t="s">
        <v>262</v>
      </c>
      <c r="C23" s="16" t="s">
        <v>257</v>
      </c>
      <c r="D23" s="16" t="s">
        <v>18</v>
      </c>
      <c r="E23" s="16">
        <v>5</v>
      </c>
      <c r="G23" s="16" t="s">
        <v>39</v>
      </c>
    </row>
    <row r="24" spans="1:7">
      <c r="A24" s="20" t="s">
        <v>46</v>
      </c>
      <c r="B24" s="10" t="s">
        <v>274</v>
      </c>
      <c r="C24" s="16" t="s">
        <v>257</v>
      </c>
      <c r="D24" s="16" t="s">
        <v>18</v>
      </c>
      <c r="E24" s="16">
        <v>6</v>
      </c>
      <c r="G24" s="16" t="s">
        <v>39</v>
      </c>
    </row>
    <row r="25" spans="1:7" hidden="1">
      <c r="A25" s="20" t="s">
        <v>46</v>
      </c>
      <c r="B25" s="10" t="s">
        <v>275</v>
      </c>
      <c r="C25" s="16" t="s">
        <v>5</v>
      </c>
      <c r="D25" s="16" t="s">
        <v>18</v>
      </c>
      <c r="E25" s="16">
        <v>4</v>
      </c>
      <c r="F25" s="16">
        <v>2</v>
      </c>
      <c r="G25" s="16" t="s">
        <v>57</v>
      </c>
    </row>
    <row r="26" spans="1:7" hidden="1">
      <c r="A26" s="20" t="s">
        <v>46</v>
      </c>
      <c r="B26" s="10" t="s">
        <v>308</v>
      </c>
      <c r="C26" s="16" t="s">
        <v>5</v>
      </c>
      <c r="D26" s="16" t="s">
        <v>18</v>
      </c>
      <c r="E26" s="16">
        <v>2</v>
      </c>
      <c r="F26" s="16">
        <v>1</v>
      </c>
      <c r="G26" s="16" t="s">
        <v>57</v>
      </c>
    </row>
    <row r="27" spans="1:7">
      <c r="A27" s="20" t="s">
        <v>46</v>
      </c>
      <c r="B27" s="10" t="s">
        <v>263</v>
      </c>
      <c r="C27" s="16" t="s">
        <v>257</v>
      </c>
      <c r="D27" s="16" t="s">
        <v>18</v>
      </c>
      <c r="E27" s="16">
        <v>8</v>
      </c>
      <c r="G27" s="16" t="s">
        <v>39</v>
      </c>
    </row>
    <row r="28" spans="1:7" hidden="1">
      <c r="A28" s="49" t="s">
        <v>264</v>
      </c>
      <c r="B28" s="10" t="s">
        <v>265</v>
      </c>
      <c r="C28" s="16" t="s">
        <v>5</v>
      </c>
      <c r="D28" s="16" t="s">
        <v>18</v>
      </c>
      <c r="E28" s="16">
        <v>3</v>
      </c>
      <c r="F28" s="16">
        <v>1</v>
      </c>
      <c r="G28" s="16" t="s">
        <v>57</v>
      </c>
    </row>
    <row r="29" spans="1:7" hidden="1">
      <c r="A29" s="49" t="s">
        <v>264</v>
      </c>
      <c r="B29" s="10" t="s">
        <v>266</v>
      </c>
      <c r="C29" s="16" t="s">
        <v>5</v>
      </c>
      <c r="D29" s="16" t="s">
        <v>18</v>
      </c>
      <c r="E29" s="16">
        <v>2</v>
      </c>
      <c r="F29" s="16">
        <v>2</v>
      </c>
      <c r="G29" s="16" t="s">
        <v>57</v>
      </c>
    </row>
    <row r="30" spans="1:7" hidden="1">
      <c r="A30" s="49" t="s">
        <v>264</v>
      </c>
      <c r="B30" s="10" t="s">
        <v>267</v>
      </c>
      <c r="C30" s="16" t="s">
        <v>5</v>
      </c>
      <c r="D30" s="16" t="s">
        <v>18</v>
      </c>
      <c r="E30" s="16">
        <v>1</v>
      </c>
      <c r="F30" s="16">
        <v>1</v>
      </c>
      <c r="G30" s="16" t="s">
        <v>57</v>
      </c>
    </row>
    <row r="31" spans="1:7">
      <c r="A31" s="49" t="s">
        <v>264</v>
      </c>
      <c r="B31" s="10" t="s">
        <v>268</v>
      </c>
      <c r="C31" s="16" t="s">
        <v>5</v>
      </c>
      <c r="D31" s="16" t="s">
        <v>18</v>
      </c>
      <c r="E31" s="16">
        <v>2</v>
      </c>
      <c r="G31" s="16" t="s">
        <v>306</v>
      </c>
    </row>
    <row r="32" spans="1:7">
      <c r="A32" s="49" t="s">
        <v>264</v>
      </c>
      <c r="B32" s="10" t="s">
        <v>269</v>
      </c>
      <c r="C32" s="16" t="s">
        <v>5</v>
      </c>
      <c r="D32" s="16" t="s">
        <v>18</v>
      </c>
      <c r="E32" s="16">
        <v>2</v>
      </c>
      <c r="G32" s="16" t="s">
        <v>39</v>
      </c>
    </row>
    <row r="33" spans="1:7">
      <c r="A33" s="21" t="s">
        <v>40</v>
      </c>
      <c r="B33" s="10" t="s">
        <v>270</v>
      </c>
      <c r="C33" s="16" t="s">
        <v>5</v>
      </c>
      <c r="D33" s="16" t="s">
        <v>18</v>
      </c>
      <c r="E33" s="16">
        <v>2</v>
      </c>
      <c r="G33" s="16" t="s">
        <v>306</v>
      </c>
    </row>
    <row r="34" spans="1:7">
      <c r="A34" s="21" t="s">
        <v>40</v>
      </c>
      <c r="B34" s="10" t="s">
        <v>271</v>
      </c>
      <c r="C34" s="16" t="s">
        <v>257</v>
      </c>
      <c r="D34" s="16" t="s">
        <v>18</v>
      </c>
      <c r="E34" s="16">
        <v>1</v>
      </c>
      <c r="G34" s="16" t="s">
        <v>39</v>
      </c>
    </row>
    <row r="35" spans="1:7" hidden="1">
      <c r="A35" s="21" t="s">
        <v>40</v>
      </c>
      <c r="B35" s="10" t="s">
        <v>291</v>
      </c>
      <c r="C35" s="16" t="s">
        <v>5</v>
      </c>
      <c r="D35" s="16" t="s">
        <v>18</v>
      </c>
      <c r="E35" s="16">
        <v>2</v>
      </c>
      <c r="F35" s="16">
        <v>12</v>
      </c>
      <c r="G35" s="16" t="s">
        <v>57</v>
      </c>
    </row>
    <row r="36" spans="1:7" hidden="1">
      <c r="A36" s="21" t="s">
        <v>40</v>
      </c>
      <c r="B36" s="10" t="s">
        <v>388</v>
      </c>
      <c r="C36" s="16" t="s">
        <v>5</v>
      </c>
      <c r="D36" s="16" t="s">
        <v>18</v>
      </c>
      <c r="E36" s="16">
        <v>3</v>
      </c>
      <c r="F36" s="16">
        <v>4</v>
      </c>
      <c r="G36" s="16" t="s">
        <v>57</v>
      </c>
    </row>
    <row r="37" spans="1:7">
      <c r="A37" s="21" t="s">
        <v>40</v>
      </c>
      <c r="B37" s="10" t="s">
        <v>272</v>
      </c>
      <c r="C37" s="16" t="s">
        <v>257</v>
      </c>
      <c r="D37" s="16" t="s">
        <v>18</v>
      </c>
      <c r="E37" s="16">
        <v>3</v>
      </c>
      <c r="G37" s="16" t="s">
        <v>39</v>
      </c>
    </row>
    <row r="38" spans="1:7" hidden="1">
      <c r="A38" s="21" t="s">
        <v>40</v>
      </c>
      <c r="B38" s="10" t="s">
        <v>273</v>
      </c>
      <c r="C38" s="16" t="s">
        <v>257</v>
      </c>
      <c r="D38" s="16" t="s">
        <v>18</v>
      </c>
      <c r="E38" s="16">
        <v>6</v>
      </c>
      <c r="F38" s="16">
        <v>6</v>
      </c>
      <c r="G38" s="16" t="s">
        <v>57</v>
      </c>
    </row>
    <row r="39" spans="1:7">
      <c r="A39" s="22" t="s">
        <v>41</v>
      </c>
      <c r="B39" s="10" t="s">
        <v>276</v>
      </c>
      <c r="C39" s="16" t="s">
        <v>5</v>
      </c>
      <c r="D39" s="16" t="s">
        <v>18</v>
      </c>
      <c r="E39" s="16">
        <v>3</v>
      </c>
      <c r="G39" s="16" t="s">
        <v>306</v>
      </c>
    </row>
    <row r="40" spans="1:7" hidden="1">
      <c r="A40" s="22" t="s">
        <v>41</v>
      </c>
      <c r="B40" s="10" t="s">
        <v>349</v>
      </c>
      <c r="C40" s="16" t="s">
        <v>5</v>
      </c>
      <c r="D40" s="16" t="s">
        <v>18</v>
      </c>
      <c r="E40" s="16">
        <v>1</v>
      </c>
      <c r="F40" s="16">
        <v>1</v>
      </c>
      <c r="G40" s="16" t="s">
        <v>57</v>
      </c>
    </row>
    <row r="41" spans="1:7" hidden="1">
      <c r="A41" s="22" t="s">
        <v>41</v>
      </c>
      <c r="B41" s="10" t="s">
        <v>75</v>
      </c>
      <c r="C41" s="16" t="s">
        <v>5</v>
      </c>
      <c r="D41" s="16" t="s">
        <v>18</v>
      </c>
      <c r="E41" s="16">
        <v>0</v>
      </c>
      <c r="G41" s="16" t="s">
        <v>57</v>
      </c>
    </row>
    <row r="42" spans="1:7">
      <c r="A42" s="23" t="s">
        <v>42</v>
      </c>
      <c r="B42" s="10" t="s">
        <v>278</v>
      </c>
      <c r="D42" s="16" t="s">
        <v>293</v>
      </c>
      <c r="E42" s="16">
        <v>2</v>
      </c>
      <c r="G42" s="16" t="s">
        <v>39</v>
      </c>
    </row>
    <row r="43" spans="1:7">
      <c r="A43" s="23" t="s">
        <v>42</v>
      </c>
      <c r="B43" s="10" t="s">
        <v>279</v>
      </c>
      <c r="C43" s="16" t="s">
        <v>5</v>
      </c>
      <c r="D43" s="16" t="s">
        <v>293</v>
      </c>
      <c r="E43" s="16">
        <v>1</v>
      </c>
      <c r="G43" s="16" t="s">
        <v>39</v>
      </c>
    </row>
    <row r="44" spans="1:7">
      <c r="A44" s="23" t="s">
        <v>42</v>
      </c>
      <c r="B44" s="10" t="s">
        <v>280</v>
      </c>
      <c r="D44" s="16" t="s">
        <v>293</v>
      </c>
      <c r="E44" s="16">
        <v>1</v>
      </c>
      <c r="F44" s="16">
        <v>1</v>
      </c>
      <c r="G44" s="16" t="s">
        <v>57</v>
      </c>
    </row>
    <row r="45" spans="1:7">
      <c r="A45" s="10" t="s">
        <v>277</v>
      </c>
      <c r="B45" s="10" t="s">
        <v>281</v>
      </c>
      <c r="D45" s="16" t="s">
        <v>10</v>
      </c>
      <c r="E45" s="16">
        <v>6</v>
      </c>
      <c r="G45" s="16" t="s">
        <v>39</v>
      </c>
    </row>
    <row r="46" spans="1:7">
      <c r="A46" s="10" t="s">
        <v>277</v>
      </c>
      <c r="B46" s="10" t="s">
        <v>282</v>
      </c>
      <c r="D46" s="16" t="s">
        <v>10</v>
      </c>
      <c r="E46" s="16">
        <v>6</v>
      </c>
      <c r="G46" s="16" t="s">
        <v>39</v>
      </c>
    </row>
    <row r="47" spans="1:7">
      <c r="A47" s="10" t="s">
        <v>277</v>
      </c>
      <c r="B47" s="10" t="s">
        <v>283</v>
      </c>
      <c r="D47" s="16" t="s">
        <v>18</v>
      </c>
      <c r="E47" s="16">
        <v>0</v>
      </c>
      <c r="G47" s="16" t="s">
        <v>39</v>
      </c>
    </row>
    <row r="48" spans="1:7">
      <c r="A48" s="13" t="s">
        <v>38</v>
      </c>
      <c r="B48" s="10" t="s">
        <v>284</v>
      </c>
      <c r="C48" s="16" t="s">
        <v>257</v>
      </c>
      <c r="D48" s="16" t="s">
        <v>10</v>
      </c>
      <c r="E48" s="16">
        <v>1</v>
      </c>
      <c r="G48" s="16" t="s">
        <v>39</v>
      </c>
    </row>
    <row r="49" spans="1:7">
      <c r="A49" s="13" t="s">
        <v>38</v>
      </c>
      <c r="B49" s="10" t="s">
        <v>285</v>
      </c>
      <c r="C49" s="16" t="s">
        <v>5</v>
      </c>
      <c r="D49" s="16" t="s">
        <v>10</v>
      </c>
      <c r="E49" s="16">
        <v>8</v>
      </c>
      <c r="G49" s="16" t="s">
        <v>39</v>
      </c>
    </row>
    <row r="50" spans="1:7">
      <c r="A50" s="13" t="s">
        <v>38</v>
      </c>
      <c r="B50" s="10" t="s">
        <v>286</v>
      </c>
      <c r="C50" s="16" t="s">
        <v>5</v>
      </c>
      <c r="D50" s="16" t="s">
        <v>10</v>
      </c>
      <c r="E50" s="16">
        <v>6</v>
      </c>
      <c r="G50" s="16" t="s">
        <v>39</v>
      </c>
    </row>
    <row r="51" spans="1:7">
      <c r="A51" s="13" t="s">
        <v>38</v>
      </c>
      <c r="B51" s="10" t="s">
        <v>287</v>
      </c>
      <c r="C51" s="16" t="s">
        <v>5</v>
      </c>
      <c r="D51" s="16" t="s">
        <v>10</v>
      </c>
      <c r="E51" s="16">
        <v>8</v>
      </c>
      <c r="G51" s="16" t="s">
        <v>39</v>
      </c>
    </row>
    <row r="52" spans="1:7">
      <c r="A52" s="13" t="s">
        <v>38</v>
      </c>
      <c r="B52" s="10" t="s">
        <v>288</v>
      </c>
      <c r="C52" s="16" t="s">
        <v>5</v>
      </c>
      <c r="D52" s="16" t="s">
        <v>10</v>
      </c>
      <c r="E52" s="16">
        <v>8</v>
      </c>
      <c r="G52" s="16" t="s">
        <v>39</v>
      </c>
    </row>
    <row r="53" spans="1:7">
      <c r="A53" s="13" t="s">
        <v>38</v>
      </c>
      <c r="B53" s="10" t="s">
        <v>289</v>
      </c>
      <c r="C53" s="16" t="s">
        <v>5</v>
      </c>
      <c r="D53" s="16" t="s">
        <v>10</v>
      </c>
      <c r="E53" s="16">
        <v>4</v>
      </c>
      <c r="G53" s="16" t="s">
        <v>39</v>
      </c>
    </row>
    <row r="54" spans="1:7">
      <c r="A54" s="13" t="s">
        <v>38</v>
      </c>
      <c r="B54" s="10" t="s">
        <v>290</v>
      </c>
      <c r="C54" s="16" t="s">
        <v>5</v>
      </c>
      <c r="D54" s="16" t="s">
        <v>10</v>
      </c>
      <c r="E54" s="16">
        <v>12</v>
      </c>
      <c r="G54" s="16" t="s">
        <v>39</v>
      </c>
    </row>
    <row r="55" spans="1:7">
      <c r="A55" s="13" t="s">
        <v>38</v>
      </c>
      <c r="B55" s="10" t="s">
        <v>292</v>
      </c>
      <c r="C55" s="16" t="s">
        <v>5</v>
      </c>
      <c r="D55" s="16" t="s">
        <v>293</v>
      </c>
      <c r="E55" s="16">
        <v>12</v>
      </c>
      <c r="F55" s="10"/>
      <c r="G55" s="16" t="s">
        <v>39</v>
      </c>
    </row>
    <row r="57" spans="1:7">
      <c r="A57" s="10" t="s">
        <v>309</v>
      </c>
      <c r="B57" s="10" t="s">
        <v>310</v>
      </c>
    </row>
  </sheetData>
  <autoFilter ref="B2:G55" xr:uid="{00000000-0001-0000-0000-000000000000}">
    <filterColumn colId="5">
      <filters>
        <filter val="作業中"/>
        <filter val="未着手"/>
      </filters>
    </filterColumn>
    <sortState xmlns:xlrd2="http://schemas.microsoft.com/office/spreadsheetml/2017/richdata2" ref="B3:G38">
      <sortCondition ref="B2:B38"/>
    </sortState>
  </autoFilter>
  <phoneticPr fontId="1"/>
  <dataValidations count="3">
    <dataValidation type="list" allowBlank="1" showInputMessage="1" showErrorMessage="1" sqref="D3:D55" xr:uid="{8982FD40-CA4D-4B92-93FE-B37B6B67ACD6}">
      <formula1>"プロト,アルファ,ベータ,マスタ"</formula1>
    </dataValidation>
    <dataValidation type="list" allowBlank="1" showInputMessage="1" showErrorMessage="1" sqref="G3:G55" xr:uid="{E1CFE88F-4F87-4696-BE21-1133C2AEB8C1}">
      <formula1>"未着手,作業中,完了"</formula1>
    </dataValidation>
    <dataValidation type="list" allowBlank="1" showInputMessage="1" showErrorMessage="1" sqref="C3:C55" xr:uid="{AF10AFEC-2E3A-4CB7-ABD8-6255C47E78C2}">
      <formula1>"S,A,B,C"</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30D07-33E0-4A6A-A9E3-4F29F77EDCE6}">
  <dimension ref="C2:P37"/>
  <sheetViews>
    <sheetView topLeftCell="A28" zoomScale="115" zoomScaleNormal="115" workbookViewId="0">
      <selection activeCell="J27" sqref="J27:K29"/>
    </sheetView>
  </sheetViews>
  <sheetFormatPr defaultRowHeight="18.75"/>
  <sheetData>
    <row r="2" spans="3:16">
      <c r="O2" t="s">
        <v>67</v>
      </c>
    </row>
    <row r="3" spans="3:16">
      <c r="C3" t="s">
        <v>62</v>
      </c>
    </row>
    <row r="4" spans="3:16">
      <c r="C4" s="11" t="s">
        <v>50</v>
      </c>
      <c r="D4" s="11" t="s">
        <v>51</v>
      </c>
      <c r="E4" s="11" t="s">
        <v>52</v>
      </c>
      <c r="F4" s="11" t="s">
        <v>53</v>
      </c>
      <c r="G4" s="11" t="s">
        <v>54</v>
      </c>
      <c r="H4" s="11" t="s">
        <v>55</v>
      </c>
      <c r="I4" s="11" t="s">
        <v>56</v>
      </c>
    </row>
    <row r="5" spans="3:16">
      <c r="C5" s="11"/>
      <c r="D5" s="11"/>
      <c r="E5" s="11"/>
      <c r="F5" s="11"/>
      <c r="G5" s="11"/>
      <c r="H5" s="11">
        <v>1</v>
      </c>
      <c r="I5" s="11">
        <v>2</v>
      </c>
      <c r="M5" t="s">
        <v>68</v>
      </c>
    </row>
    <row r="6" spans="3:16">
      <c r="C6" s="10">
        <v>3</v>
      </c>
      <c r="D6" s="10">
        <v>4</v>
      </c>
      <c r="E6" s="10">
        <v>5</v>
      </c>
      <c r="F6" s="10">
        <v>6</v>
      </c>
      <c r="G6" s="10">
        <v>7</v>
      </c>
      <c r="H6" s="10">
        <v>8</v>
      </c>
      <c r="I6" s="11">
        <v>9</v>
      </c>
      <c r="K6" t="s">
        <v>28</v>
      </c>
      <c r="L6" s="31"/>
      <c r="M6">
        <v>24</v>
      </c>
    </row>
    <row r="7" spans="3:16">
      <c r="C7" s="10">
        <v>10</v>
      </c>
      <c r="D7" s="10">
        <v>11</v>
      </c>
      <c r="E7" s="10">
        <v>12</v>
      </c>
      <c r="F7" s="10">
        <v>13</v>
      </c>
      <c r="G7" s="10">
        <v>14</v>
      </c>
      <c r="H7" s="10">
        <v>15</v>
      </c>
      <c r="I7" s="11">
        <v>16</v>
      </c>
      <c r="K7" t="s">
        <v>0</v>
      </c>
      <c r="L7" s="33"/>
      <c r="M7">
        <v>18</v>
      </c>
      <c r="P7">
        <v>74</v>
      </c>
    </row>
    <row r="8" spans="3:16">
      <c r="C8" s="10">
        <v>17</v>
      </c>
      <c r="D8" s="10">
        <v>18</v>
      </c>
      <c r="E8" s="10">
        <v>19</v>
      </c>
      <c r="F8" s="10">
        <v>20</v>
      </c>
      <c r="G8" s="10">
        <v>21</v>
      </c>
      <c r="H8" s="38">
        <v>22</v>
      </c>
      <c r="I8" s="11">
        <v>23</v>
      </c>
      <c r="K8" t="s">
        <v>29</v>
      </c>
      <c r="L8" s="37"/>
      <c r="M8">
        <v>17</v>
      </c>
    </row>
    <row r="9" spans="3:16">
      <c r="C9" s="10">
        <v>24</v>
      </c>
      <c r="D9" s="10">
        <v>25</v>
      </c>
      <c r="E9" s="10">
        <v>26</v>
      </c>
      <c r="F9" s="10">
        <v>27</v>
      </c>
      <c r="G9" s="10">
        <v>28</v>
      </c>
      <c r="H9" s="10">
        <v>29</v>
      </c>
      <c r="I9" s="11">
        <v>30</v>
      </c>
      <c r="K9" t="s">
        <v>66</v>
      </c>
      <c r="L9" s="34"/>
      <c r="M9">
        <v>7</v>
      </c>
    </row>
    <row r="10" spans="3:16">
      <c r="C10" s="11">
        <v>31</v>
      </c>
    </row>
    <row r="11" spans="3:16">
      <c r="K11" t="s">
        <v>350</v>
      </c>
      <c r="L11" s="53"/>
    </row>
    <row r="12" spans="3:16">
      <c r="C12" t="s">
        <v>63</v>
      </c>
    </row>
    <row r="13" spans="3:16">
      <c r="C13" s="11" t="s">
        <v>50</v>
      </c>
      <c r="D13" s="11" t="s">
        <v>51</v>
      </c>
      <c r="E13" s="11" t="s">
        <v>52</v>
      </c>
      <c r="F13" s="11" t="s">
        <v>53</v>
      </c>
      <c r="G13" s="11" t="s">
        <v>54</v>
      </c>
      <c r="H13" s="11" t="s">
        <v>55</v>
      </c>
      <c r="I13" s="11" t="s">
        <v>56</v>
      </c>
    </row>
    <row r="14" spans="3:16">
      <c r="C14" s="10"/>
      <c r="D14" s="10">
        <v>1</v>
      </c>
      <c r="E14" s="10">
        <v>2</v>
      </c>
      <c r="F14" s="10">
        <v>3</v>
      </c>
      <c r="G14" s="10">
        <v>4</v>
      </c>
      <c r="H14" s="10">
        <v>5</v>
      </c>
      <c r="I14" s="10">
        <v>6</v>
      </c>
    </row>
    <row r="15" spans="3:16">
      <c r="C15" s="10">
        <v>7</v>
      </c>
      <c r="D15" s="10">
        <v>8</v>
      </c>
      <c r="E15" s="10">
        <v>9</v>
      </c>
      <c r="F15" s="10">
        <v>10</v>
      </c>
      <c r="G15" s="30">
        <v>11</v>
      </c>
      <c r="H15" s="31">
        <v>12</v>
      </c>
      <c r="I15" s="31">
        <v>13</v>
      </c>
    </row>
    <row r="16" spans="3:16">
      <c r="C16" s="31">
        <v>14</v>
      </c>
      <c r="D16" s="31">
        <v>15</v>
      </c>
      <c r="E16" s="31">
        <v>16</v>
      </c>
      <c r="F16" s="31">
        <v>17</v>
      </c>
      <c r="G16" s="31">
        <v>18</v>
      </c>
      <c r="H16" s="31">
        <v>19</v>
      </c>
      <c r="I16" s="31">
        <v>20</v>
      </c>
    </row>
    <row r="17" spans="3:9">
      <c r="C17" s="31">
        <v>21</v>
      </c>
      <c r="D17" s="31">
        <v>22</v>
      </c>
      <c r="E17" s="31">
        <v>23</v>
      </c>
      <c r="F17" s="31">
        <v>24</v>
      </c>
      <c r="G17" s="31">
        <v>25</v>
      </c>
      <c r="H17" s="31">
        <v>26</v>
      </c>
      <c r="I17" s="31">
        <v>27</v>
      </c>
    </row>
    <row r="18" spans="3:9">
      <c r="C18" s="31">
        <v>28</v>
      </c>
      <c r="D18" s="31">
        <v>29</v>
      </c>
      <c r="E18" s="31">
        <v>30</v>
      </c>
      <c r="F18" s="10"/>
      <c r="G18" s="10"/>
      <c r="H18" s="10"/>
      <c r="I18" s="10"/>
    </row>
    <row r="20" spans="3:9">
      <c r="C20" t="s">
        <v>64</v>
      </c>
    </row>
    <row r="21" spans="3:9">
      <c r="C21" s="11" t="s">
        <v>50</v>
      </c>
      <c r="D21" s="11" t="s">
        <v>51</v>
      </c>
      <c r="E21" s="11" t="s">
        <v>52</v>
      </c>
      <c r="F21" s="11" t="s">
        <v>53</v>
      </c>
      <c r="G21" s="11" t="s">
        <v>54</v>
      </c>
      <c r="H21" s="11" t="s">
        <v>55</v>
      </c>
      <c r="I21" s="11" t="s">
        <v>56</v>
      </c>
    </row>
    <row r="22" spans="3:9">
      <c r="C22" s="10"/>
      <c r="D22" s="10"/>
      <c r="E22" s="10"/>
      <c r="F22" s="31">
        <v>1</v>
      </c>
      <c r="G22" s="31">
        <v>2</v>
      </c>
      <c r="H22" s="31">
        <v>3</v>
      </c>
      <c r="I22" s="31">
        <v>4</v>
      </c>
    </row>
    <row r="23" spans="3:9">
      <c r="C23" s="31">
        <v>5</v>
      </c>
      <c r="D23" s="31">
        <v>6</v>
      </c>
      <c r="E23" s="31">
        <v>7</v>
      </c>
      <c r="F23" s="31">
        <v>8</v>
      </c>
      <c r="G23" s="31">
        <v>9</v>
      </c>
      <c r="H23" s="31">
        <v>10</v>
      </c>
      <c r="I23" s="31">
        <v>11</v>
      </c>
    </row>
    <row r="24" spans="3:9">
      <c r="C24" s="31">
        <v>12</v>
      </c>
      <c r="D24" s="31">
        <v>13</v>
      </c>
      <c r="E24" s="31">
        <v>14</v>
      </c>
      <c r="F24" s="31">
        <v>15</v>
      </c>
      <c r="G24" s="31">
        <v>16</v>
      </c>
      <c r="H24" s="31">
        <v>17</v>
      </c>
      <c r="I24" s="19">
        <v>18</v>
      </c>
    </row>
    <row r="25" spans="3:9">
      <c r="C25" s="19">
        <v>19</v>
      </c>
      <c r="D25" s="19">
        <v>20</v>
      </c>
      <c r="E25" s="19">
        <v>21</v>
      </c>
      <c r="F25" s="19">
        <v>22</v>
      </c>
      <c r="G25" s="19">
        <v>23</v>
      </c>
      <c r="H25" s="19">
        <v>24</v>
      </c>
      <c r="I25" s="19">
        <v>25</v>
      </c>
    </row>
    <row r="26" spans="3:9">
      <c r="C26" s="52">
        <v>26</v>
      </c>
      <c r="D26" s="52">
        <v>27</v>
      </c>
      <c r="E26" s="52">
        <v>28</v>
      </c>
      <c r="F26" s="52">
        <v>29</v>
      </c>
      <c r="G26" s="52">
        <v>30</v>
      </c>
      <c r="H26" s="52">
        <v>31</v>
      </c>
      <c r="I26" s="11"/>
    </row>
    <row r="30" spans="3:9">
      <c r="C30" t="s">
        <v>65</v>
      </c>
    </row>
    <row r="31" spans="3:9">
      <c r="C31" s="11" t="s">
        <v>50</v>
      </c>
      <c r="D31" s="11" t="s">
        <v>51</v>
      </c>
      <c r="E31" s="11" t="s">
        <v>52</v>
      </c>
      <c r="F31" s="11" t="s">
        <v>53</v>
      </c>
      <c r="G31" s="11" t="s">
        <v>54</v>
      </c>
      <c r="H31" s="11" t="s">
        <v>55</v>
      </c>
      <c r="I31" s="11" t="s">
        <v>56</v>
      </c>
    </row>
    <row r="32" spans="3:9">
      <c r="C32" s="10"/>
      <c r="D32" s="10"/>
      <c r="E32" s="10"/>
      <c r="F32" s="10"/>
      <c r="G32" s="10"/>
      <c r="H32" s="10"/>
      <c r="I32" s="52">
        <v>1</v>
      </c>
    </row>
    <row r="33" spans="3:11">
      <c r="C33" s="19">
        <v>2</v>
      </c>
      <c r="D33" s="19">
        <v>3</v>
      </c>
      <c r="E33" s="52">
        <v>4</v>
      </c>
      <c r="F33" s="19">
        <v>5</v>
      </c>
      <c r="G33" s="19">
        <v>6</v>
      </c>
      <c r="H33" s="19">
        <v>7</v>
      </c>
      <c r="I33" s="19">
        <v>8</v>
      </c>
    </row>
    <row r="34" spans="3:11">
      <c r="C34" s="19">
        <v>9</v>
      </c>
      <c r="D34" s="19">
        <v>10</v>
      </c>
      <c r="E34" s="37">
        <v>11</v>
      </c>
      <c r="F34" s="37">
        <v>12</v>
      </c>
      <c r="G34" s="37">
        <v>13</v>
      </c>
      <c r="H34" s="37">
        <v>14</v>
      </c>
      <c r="I34" s="37">
        <v>15</v>
      </c>
    </row>
    <row r="35" spans="3:11">
      <c r="C35" s="37">
        <v>16</v>
      </c>
      <c r="D35" s="37">
        <v>17</v>
      </c>
      <c r="E35" s="37">
        <v>18</v>
      </c>
      <c r="F35" s="37">
        <v>19</v>
      </c>
      <c r="G35" s="37">
        <v>20</v>
      </c>
      <c r="H35" s="37">
        <v>21</v>
      </c>
      <c r="I35" s="37">
        <v>22</v>
      </c>
    </row>
    <row r="36" spans="3:11">
      <c r="C36" s="37">
        <v>23</v>
      </c>
      <c r="D36" s="52">
        <v>24</v>
      </c>
      <c r="E36" s="52">
        <v>25</v>
      </c>
      <c r="F36" s="52">
        <v>26</v>
      </c>
      <c r="G36" s="52">
        <v>27</v>
      </c>
      <c r="H36" s="52">
        <v>28</v>
      </c>
      <c r="I36" s="34">
        <v>29</v>
      </c>
      <c r="K36" t="s">
        <v>351</v>
      </c>
    </row>
    <row r="37" spans="3:11">
      <c r="C37" s="34">
        <v>30</v>
      </c>
      <c r="D37" s="34">
        <v>31</v>
      </c>
      <c r="E37" s="36">
        <v>1</v>
      </c>
      <c r="F37" s="36">
        <v>2</v>
      </c>
      <c r="G37" s="36">
        <v>3</v>
      </c>
      <c r="H37" s="35">
        <v>4</v>
      </c>
      <c r="I37" s="32"/>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4C71-EC53-4AC7-B05F-AE75E87F0C1C}">
  <dimension ref="A1:C140"/>
  <sheetViews>
    <sheetView topLeftCell="A133" workbookViewId="0">
      <selection activeCell="C141" sqref="C141"/>
    </sheetView>
  </sheetViews>
  <sheetFormatPr defaultRowHeight="18.75"/>
  <cols>
    <col min="1" max="1" width="8.25" bestFit="1" customWidth="1"/>
    <col min="2" max="2" width="6.25" bestFit="1" customWidth="1"/>
    <col min="3" max="3" width="127.25" bestFit="1" customWidth="1"/>
  </cols>
  <sheetData>
    <row r="1" spans="1:3">
      <c r="A1" t="s">
        <v>77</v>
      </c>
      <c r="B1" t="s">
        <v>78</v>
      </c>
      <c r="C1" t="s">
        <v>79</v>
      </c>
    </row>
    <row r="2" spans="1:3">
      <c r="A2" s="1">
        <v>46166</v>
      </c>
      <c r="B2" t="s">
        <v>80</v>
      </c>
      <c r="C2" t="s">
        <v>81</v>
      </c>
    </row>
    <row r="3" spans="1:3">
      <c r="A3" s="1">
        <v>46167</v>
      </c>
      <c r="B3" t="s">
        <v>82</v>
      </c>
      <c r="C3" t="s">
        <v>83</v>
      </c>
    </row>
    <row r="4" spans="1:3">
      <c r="A4" s="1"/>
      <c r="C4" t="s">
        <v>95</v>
      </c>
    </row>
    <row r="5" spans="1:3">
      <c r="C5" t="s">
        <v>96</v>
      </c>
    </row>
    <row r="7" spans="1:3">
      <c r="A7" s="1">
        <v>46190</v>
      </c>
      <c r="C7" t="s">
        <v>219</v>
      </c>
    </row>
    <row r="8" spans="1:3">
      <c r="A8" s="1">
        <v>46191</v>
      </c>
      <c r="C8" t="s">
        <v>220</v>
      </c>
    </row>
    <row r="9" spans="1:3">
      <c r="A9" s="1">
        <v>46192</v>
      </c>
      <c r="C9" t="s">
        <v>221</v>
      </c>
    </row>
    <row r="10" spans="1:3">
      <c r="C10" t="s">
        <v>222</v>
      </c>
    </row>
    <row r="11" spans="1:3">
      <c r="C11" t="s">
        <v>223</v>
      </c>
    </row>
    <row r="12" spans="1:3">
      <c r="A12" s="1">
        <v>46193</v>
      </c>
      <c r="C12" t="s">
        <v>224</v>
      </c>
    </row>
    <row r="13" spans="1:3">
      <c r="C13" t="s">
        <v>225</v>
      </c>
    </row>
    <row r="14" spans="1:3">
      <c r="A14" s="1">
        <v>46194</v>
      </c>
      <c r="C14" t="s">
        <v>226</v>
      </c>
    </row>
    <row r="15" spans="1:3">
      <c r="C15" t="s">
        <v>227</v>
      </c>
    </row>
    <row r="16" spans="1:3">
      <c r="C16" t="s">
        <v>228</v>
      </c>
    </row>
    <row r="17" spans="1:3">
      <c r="A17" s="1">
        <v>46195</v>
      </c>
      <c r="C17" t="s">
        <v>229</v>
      </c>
    </row>
    <row r="18" spans="1:3">
      <c r="C18" t="s">
        <v>230</v>
      </c>
    </row>
    <row r="19" spans="1:3">
      <c r="C19" t="s">
        <v>231</v>
      </c>
    </row>
    <row r="20" spans="1:3">
      <c r="C20" t="s">
        <v>232</v>
      </c>
    </row>
    <row r="21" spans="1:3">
      <c r="C21" t="s">
        <v>233</v>
      </c>
    </row>
    <row r="22" spans="1:3">
      <c r="C22" t="s">
        <v>235</v>
      </c>
    </row>
    <row r="23" spans="1:3">
      <c r="C23" t="s">
        <v>234</v>
      </c>
    </row>
    <row r="24" spans="1:3">
      <c r="A24" s="1">
        <v>46196</v>
      </c>
      <c r="C24" t="s">
        <v>236</v>
      </c>
    </row>
    <row r="25" spans="1:3">
      <c r="C25" t="s">
        <v>237</v>
      </c>
    </row>
    <row r="26" spans="1:3">
      <c r="C26" t="s">
        <v>238</v>
      </c>
    </row>
    <row r="27" spans="1:3">
      <c r="A27" s="1">
        <v>46197</v>
      </c>
      <c r="C27" t="s">
        <v>239</v>
      </c>
    </row>
    <row r="28" spans="1:3">
      <c r="C28" t="s">
        <v>240</v>
      </c>
    </row>
    <row r="29" spans="1:3">
      <c r="A29" s="1">
        <v>46198</v>
      </c>
      <c r="C29" t="s">
        <v>241</v>
      </c>
    </row>
    <row r="30" spans="1:3">
      <c r="C30" t="s">
        <v>242</v>
      </c>
    </row>
    <row r="31" spans="1:3">
      <c r="C31" t="s">
        <v>243</v>
      </c>
    </row>
    <row r="32" spans="1:3">
      <c r="C32" t="s">
        <v>244</v>
      </c>
    </row>
    <row r="33" spans="1:3">
      <c r="C33" t="s">
        <v>245</v>
      </c>
    </row>
    <row r="34" spans="1:3">
      <c r="C34" t="s">
        <v>246</v>
      </c>
    </row>
    <row r="35" spans="1:3">
      <c r="C35" t="s">
        <v>248</v>
      </c>
    </row>
    <row r="36" spans="1:3">
      <c r="C36" t="s">
        <v>247</v>
      </c>
    </row>
    <row r="37" spans="1:3">
      <c r="A37" s="1">
        <v>46200</v>
      </c>
      <c r="C37" t="s">
        <v>249</v>
      </c>
    </row>
    <row r="38" spans="1:3">
      <c r="A38" s="1">
        <v>46201</v>
      </c>
      <c r="C38" t="s">
        <v>300</v>
      </c>
    </row>
    <row r="39" spans="1:3">
      <c r="C39" t="s">
        <v>303</v>
      </c>
    </row>
    <row r="40" spans="1:3">
      <c r="C40" t="s">
        <v>304</v>
      </c>
    </row>
    <row r="41" spans="1:3">
      <c r="C41" t="s">
        <v>305</v>
      </c>
    </row>
    <row r="43" spans="1:3">
      <c r="A43" s="1">
        <v>46209</v>
      </c>
      <c r="C43" t="s">
        <v>334</v>
      </c>
    </row>
    <row r="44" spans="1:3">
      <c r="C44" t="s">
        <v>337</v>
      </c>
    </row>
    <row r="45" spans="1:3">
      <c r="C45" t="s">
        <v>338</v>
      </c>
    </row>
    <row r="46" spans="1:3">
      <c r="C46" t="s">
        <v>339</v>
      </c>
    </row>
    <row r="47" spans="1:3">
      <c r="C47" t="s">
        <v>340</v>
      </c>
    </row>
    <row r="48" spans="1:3">
      <c r="C48" t="s">
        <v>341</v>
      </c>
    </row>
    <row r="49" spans="1:3">
      <c r="A49" s="1">
        <v>46210</v>
      </c>
      <c r="C49" t="s">
        <v>342</v>
      </c>
    </row>
    <row r="50" spans="1:3">
      <c r="C50" t="s">
        <v>343</v>
      </c>
    </row>
    <row r="52" spans="1:3">
      <c r="A52" s="1">
        <v>46211</v>
      </c>
      <c r="C52" t="s">
        <v>344</v>
      </c>
    </row>
    <row r="53" spans="1:3">
      <c r="C53" t="s">
        <v>345</v>
      </c>
    </row>
    <row r="54" spans="1:3">
      <c r="C54" t="s">
        <v>346</v>
      </c>
    </row>
    <row r="55" spans="1:3">
      <c r="C55" t="s">
        <v>347</v>
      </c>
    </row>
    <row r="56" spans="1:3">
      <c r="C56" t="s">
        <v>348</v>
      </c>
    </row>
    <row r="58" spans="1:3">
      <c r="C58" t="s">
        <v>352</v>
      </c>
    </row>
    <row r="60" spans="1:3">
      <c r="C60" t="s">
        <v>378</v>
      </c>
    </row>
    <row r="61" spans="1:3">
      <c r="C61" t="s">
        <v>379</v>
      </c>
    </row>
    <row r="63" spans="1:3">
      <c r="A63" s="1">
        <v>46212</v>
      </c>
      <c r="C63" t="s">
        <v>380</v>
      </c>
    </row>
    <row r="64" spans="1:3">
      <c r="C64" t="s">
        <v>381</v>
      </c>
    </row>
    <row r="65" spans="1:3">
      <c r="C65" t="s">
        <v>382</v>
      </c>
    </row>
    <row r="66" spans="1:3">
      <c r="C66" t="s">
        <v>383</v>
      </c>
    </row>
    <row r="68" spans="1:3">
      <c r="A68" s="1">
        <v>46213</v>
      </c>
      <c r="C68" t="s">
        <v>384</v>
      </c>
    </row>
    <row r="69" spans="1:3">
      <c r="C69" t="s">
        <v>385</v>
      </c>
    </row>
    <row r="70" spans="1:3">
      <c r="C70" t="s">
        <v>386</v>
      </c>
    </row>
    <row r="72" spans="1:3">
      <c r="A72" s="1">
        <v>46214</v>
      </c>
      <c r="C72" t="s">
        <v>389</v>
      </c>
    </row>
    <row r="73" spans="1:3">
      <c r="C73" t="s">
        <v>390</v>
      </c>
    </row>
    <row r="74" spans="1:3">
      <c r="C74" t="s">
        <v>391</v>
      </c>
    </row>
    <row r="76" spans="1:3">
      <c r="C76" t="s">
        <v>392</v>
      </c>
    </row>
    <row r="77" spans="1:3">
      <c r="C77" t="s">
        <v>393</v>
      </c>
    </row>
    <row r="78" spans="1:3">
      <c r="C78" t="s">
        <v>394</v>
      </c>
    </row>
    <row r="79" spans="1:3">
      <c r="C79" t="s">
        <v>395</v>
      </c>
    </row>
    <row r="81" spans="3:3">
      <c r="C81" t="s">
        <v>396</v>
      </c>
    </row>
    <row r="83" spans="3:3">
      <c r="C83" t="s">
        <v>398</v>
      </c>
    </row>
    <row r="84" spans="3:3">
      <c r="C84" t="s">
        <v>399</v>
      </c>
    </row>
    <row r="85" spans="3:3">
      <c r="C85" t="s">
        <v>400</v>
      </c>
    </row>
    <row r="87" spans="3:3">
      <c r="C87" t="s">
        <v>401</v>
      </c>
    </row>
    <row r="88" spans="3:3">
      <c r="C88" t="s">
        <v>402</v>
      </c>
    </row>
    <row r="90" spans="3:3">
      <c r="C90" t="s">
        <v>403</v>
      </c>
    </row>
    <row r="91" spans="3:3">
      <c r="C91" t="s">
        <v>404</v>
      </c>
    </row>
    <row r="92" spans="3:3">
      <c r="C92" t="s">
        <v>405</v>
      </c>
    </row>
    <row r="93" spans="3:3">
      <c r="C93" t="s">
        <v>406</v>
      </c>
    </row>
    <row r="94" spans="3:3">
      <c r="C94" t="s">
        <v>407</v>
      </c>
    </row>
    <row r="95" spans="3:3">
      <c r="C95" t="s">
        <v>408</v>
      </c>
    </row>
    <row r="96" spans="3:3">
      <c r="C96" t="s">
        <v>409</v>
      </c>
    </row>
    <row r="97" spans="1:3">
      <c r="C97" t="s">
        <v>410</v>
      </c>
    </row>
    <row r="99" spans="1:3">
      <c r="A99" s="1">
        <v>46215</v>
      </c>
      <c r="C99" t="s">
        <v>411</v>
      </c>
    </row>
    <row r="100" spans="1:3">
      <c r="C100" t="s">
        <v>412</v>
      </c>
    </row>
    <row r="101" spans="1:3">
      <c r="C101" t="s">
        <v>413</v>
      </c>
    </row>
    <row r="102" spans="1:3">
      <c r="C102" t="s">
        <v>414</v>
      </c>
    </row>
    <row r="103" spans="1:3">
      <c r="C103" t="s">
        <v>415</v>
      </c>
    </row>
    <row r="104" spans="1:3">
      <c r="C104" t="s">
        <v>416</v>
      </c>
    </row>
    <row r="105" spans="1:3">
      <c r="C105" t="s">
        <v>417</v>
      </c>
    </row>
    <row r="106" spans="1:3">
      <c r="C106" t="s">
        <v>418</v>
      </c>
    </row>
    <row r="107" spans="1:3">
      <c r="C107" t="s">
        <v>419</v>
      </c>
    </row>
    <row r="109" spans="1:3">
      <c r="A109" s="1">
        <v>46216</v>
      </c>
      <c r="C109" t="s">
        <v>420</v>
      </c>
    </row>
    <row r="110" spans="1:3">
      <c r="C110" t="s">
        <v>421</v>
      </c>
    </row>
    <row r="111" spans="1:3">
      <c r="C111" t="s">
        <v>422</v>
      </c>
    </row>
    <row r="112" spans="1:3">
      <c r="C112" t="s">
        <v>423</v>
      </c>
    </row>
    <row r="113" spans="1:3">
      <c r="C113" t="s">
        <v>424</v>
      </c>
    </row>
    <row r="114" spans="1:3">
      <c r="C114" t="s">
        <v>425</v>
      </c>
    </row>
    <row r="115" spans="1:3">
      <c r="C115" t="s">
        <v>426</v>
      </c>
    </row>
    <row r="116" spans="1:3">
      <c r="C116" t="s">
        <v>427</v>
      </c>
    </row>
    <row r="118" spans="1:3">
      <c r="A118" s="1">
        <v>46218</v>
      </c>
      <c r="C118" t="s">
        <v>433</v>
      </c>
    </row>
    <row r="119" spans="1:3">
      <c r="C119" t="s">
        <v>434</v>
      </c>
    </row>
    <row r="121" spans="1:3">
      <c r="C121" t="s">
        <v>435</v>
      </c>
    </row>
    <row r="122" spans="1:3">
      <c r="C122" t="s">
        <v>436</v>
      </c>
    </row>
    <row r="123" spans="1:3">
      <c r="C123" t="s">
        <v>437</v>
      </c>
    </row>
    <row r="124" spans="1:3">
      <c r="A124" s="1">
        <v>46219</v>
      </c>
      <c r="C124" t="s">
        <v>438</v>
      </c>
    </row>
    <row r="125" spans="1:3">
      <c r="A125" s="1">
        <v>46220</v>
      </c>
      <c r="C125" t="s">
        <v>439</v>
      </c>
    </row>
    <row r="126" spans="1:3">
      <c r="C126" t="s">
        <v>440</v>
      </c>
    </row>
    <row r="127" spans="1:3">
      <c r="C127" t="s">
        <v>441</v>
      </c>
    </row>
    <row r="128" spans="1:3">
      <c r="C128" t="s">
        <v>442</v>
      </c>
    </row>
    <row r="129" spans="1:3">
      <c r="C129" t="s">
        <v>443</v>
      </c>
    </row>
    <row r="130" spans="1:3">
      <c r="A130" s="1">
        <v>46221</v>
      </c>
      <c r="C130" t="s">
        <v>444</v>
      </c>
    </row>
    <row r="131" spans="1:3">
      <c r="C131" t="s">
        <v>445</v>
      </c>
    </row>
    <row r="132" spans="1:3">
      <c r="C132" t="s">
        <v>446</v>
      </c>
    </row>
    <row r="133" spans="1:3">
      <c r="C133" t="s">
        <v>447</v>
      </c>
    </row>
    <row r="134" spans="1:3">
      <c r="C134" t="s">
        <v>448</v>
      </c>
    </row>
    <row r="135" spans="1:3">
      <c r="C135" t="s">
        <v>449</v>
      </c>
    </row>
    <row r="136" spans="1:3">
      <c r="C136" t="s">
        <v>450</v>
      </c>
    </row>
    <row r="137" spans="1:3">
      <c r="C137" t="s">
        <v>451</v>
      </c>
    </row>
    <row r="138" spans="1:3">
      <c r="C138" t="s">
        <v>452</v>
      </c>
    </row>
    <row r="139" spans="1:3">
      <c r="C139" t="s">
        <v>459</v>
      </c>
    </row>
    <row r="140" spans="1:3">
      <c r="C140" t="s">
        <v>460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D8AAA-735E-4C60-B6AA-AFC225D5AECF}">
  <dimension ref="D2:R17"/>
  <sheetViews>
    <sheetView workbookViewId="0">
      <selection activeCell="G13" sqref="G13"/>
    </sheetView>
  </sheetViews>
  <sheetFormatPr defaultRowHeight="18.75"/>
  <cols>
    <col min="4" max="4" width="20.125" bestFit="1" customWidth="1"/>
    <col min="5" max="5" width="7.125" bestFit="1" customWidth="1"/>
    <col min="7" max="7" width="7.125" bestFit="1" customWidth="1"/>
    <col min="8" max="8" width="11" bestFit="1" customWidth="1"/>
  </cols>
  <sheetData>
    <row r="2" spans="4:18">
      <c r="D2" t="s">
        <v>359</v>
      </c>
    </row>
    <row r="3" spans="4:18">
      <c r="D3" t="s">
        <v>353</v>
      </c>
    </row>
    <row r="4" spans="4:18">
      <c r="D4" t="s">
        <v>357</v>
      </c>
      <c r="H4" t="s">
        <v>354</v>
      </c>
    </row>
    <row r="5" spans="4:18">
      <c r="D5" t="s">
        <v>358</v>
      </c>
      <c r="H5" t="s">
        <v>355</v>
      </c>
      <c r="N5" t="s">
        <v>368</v>
      </c>
      <c r="O5" t="s">
        <v>369</v>
      </c>
      <c r="P5" t="s">
        <v>370</v>
      </c>
      <c r="Q5" t="s">
        <v>369</v>
      </c>
      <c r="R5" t="s">
        <v>371</v>
      </c>
    </row>
    <row r="6" spans="4:18">
      <c r="H6" t="s">
        <v>356</v>
      </c>
    </row>
    <row r="9" spans="4:18">
      <c r="D9" t="s">
        <v>360</v>
      </c>
    </row>
    <row r="10" spans="4:18">
      <c r="D10" t="s">
        <v>361</v>
      </c>
      <c r="E10" t="s">
        <v>362</v>
      </c>
      <c r="F10" t="s">
        <v>364</v>
      </c>
      <c r="G10" t="s">
        <v>365</v>
      </c>
      <c r="H10" t="s">
        <v>366</v>
      </c>
      <c r="I10" t="s">
        <v>99</v>
      </c>
      <c r="J10" t="s">
        <v>367</v>
      </c>
      <c r="K10" t="s">
        <v>363</v>
      </c>
    </row>
    <row r="12" spans="4:18">
      <c r="D12" s="54" t="s">
        <v>372</v>
      </c>
      <c r="E12" s="54" t="s">
        <v>373</v>
      </c>
    </row>
    <row r="13" spans="4:18">
      <c r="D13" s="54"/>
      <c r="E13" s="54" t="s">
        <v>374</v>
      </c>
    </row>
    <row r="15" spans="4:18">
      <c r="D15" t="s">
        <v>375</v>
      </c>
      <c r="E15" t="s">
        <v>107</v>
      </c>
      <c r="K15" t="s">
        <v>377</v>
      </c>
    </row>
    <row r="17" spans="14:16">
      <c r="N17" t="s">
        <v>277</v>
      </c>
      <c r="P17" t="s">
        <v>376</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96AB-2B42-42A5-B99F-E70A812D4095}">
  <dimension ref="B2:E64"/>
  <sheetViews>
    <sheetView tabSelected="1" topLeftCell="A42" workbookViewId="0">
      <selection activeCell="F50" sqref="F50"/>
    </sheetView>
  </sheetViews>
  <sheetFormatPr defaultRowHeight="18.75"/>
  <cols>
    <col min="2" max="2" width="42.75" bestFit="1" customWidth="1"/>
    <col min="3" max="3" width="25.375" bestFit="1" customWidth="1"/>
    <col min="4" max="4" width="15.125" bestFit="1" customWidth="1"/>
    <col min="5" max="5" width="15" bestFit="1" customWidth="1"/>
  </cols>
  <sheetData>
    <row r="2" spans="2:4">
      <c r="B2" t="s">
        <v>76</v>
      </c>
      <c r="C2" t="s">
        <v>85</v>
      </c>
      <c r="D2" t="s">
        <v>86</v>
      </c>
    </row>
    <row r="3" spans="2:4">
      <c r="D3" t="s">
        <v>87</v>
      </c>
    </row>
    <row r="4" spans="2:4">
      <c r="B4" t="s">
        <v>84</v>
      </c>
      <c r="D4" t="s">
        <v>88</v>
      </c>
    </row>
    <row r="7" spans="2:4">
      <c r="B7" t="s">
        <v>89</v>
      </c>
    </row>
    <row r="9" spans="2:4">
      <c r="B9" t="s">
        <v>90</v>
      </c>
    </row>
    <row r="10" spans="2:4">
      <c r="B10" t="s">
        <v>91</v>
      </c>
      <c r="D10" t="s">
        <v>132</v>
      </c>
    </row>
    <row r="11" spans="2:4">
      <c r="B11" t="s">
        <v>92</v>
      </c>
      <c r="D11" t="s">
        <v>133</v>
      </c>
    </row>
    <row r="12" spans="2:4">
      <c r="D12" t="s">
        <v>301</v>
      </c>
    </row>
    <row r="13" spans="2:4">
      <c r="B13" t="s">
        <v>93</v>
      </c>
      <c r="D13" t="s">
        <v>302</v>
      </c>
    </row>
    <row r="14" spans="2:4">
      <c r="B14" t="s">
        <v>94</v>
      </c>
      <c r="D14" t="s">
        <v>134</v>
      </c>
    </row>
    <row r="15" spans="2:4">
      <c r="D15" t="s">
        <v>135</v>
      </c>
    </row>
    <row r="16" spans="2:4">
      <c r="D16" t="s">
        <v>136</v>
      </c>
    </row>
    <row r="17" spans="2:5">
      <c r="B17" t="s">
        <v>131</v>
      </c>
      <c r="D17" t="s">
        <v>145</v>
      </c>
    </row>
    <row r="18" spans="2:5">
      <c r="B18" t="s">
        <v>321</v>
      </c>
    </row>
    <row r="19" spans="2:5">
      <c r="B19" t="s">
        <v>322</v>
      </c>
    </row>
    <row r="20" spans="2:5">
      <c r="B20" t="s">
        <v>323</v>
      </c>
      <c r="D20" t="s">
        <v>312</v>
      </c>
    </row>
    <row r="21" spans="2:5">
      <c r="B21" t="s">
        <v>324</v>
      </c>
      <c r="D21" t="s">
        <v>313</v>
      </c>
      <c r="E21" t="s">
        <v>314</v>
      </c>
    </row>
    <row r="22" spans="2:5">
      <c r="B22" t="s">
        <v>325</v>
      </c>
      <c r="D22" t="s">
        <v>315</v>
      </c>
      <c r="E22" t="s">
        <v>316</v>
      </c>
    </row>
    <row r="23" spans="2:5">
      <c r="D23" t="s">
        <v>317</v>
      </c>
      <c r="E23" t="s">
        <v>318</v>
      </c>
    </row>
    <row r="25" spans="2:5">
      <c r="B25" s="32"/>
    </row>
    <row r="27" spans="2:5">
      <c r="B27" t="s">
        <v>207</v>
      </c>
      <c r="D27" t="s">
        <v>319</v>
      </c>
    </row>
    <row r="28" spans="2:5">
      <c r="B28" t="s">
        <v>311</v>
      </c>
      <c r="D28" t="s">
        <v>320</v>
      </c>
    </row>
    <row r="31" spans="2:5">
      <c r="B31" t="s">
        <v>326</v>
      </c>
    </row>
    <row r="33" spans="2:2">
      <c r="B33" t="s">
        <v>327</v>
      </c>
    </row>
    <row r="34" spans="2:2">
      <c r="B34" t="s">
        <v>329</v>
      </c>
    </row>
    <row r="35" spans="2:2">
      <c r="B35" t="s">
        <v>330</v>
      </c>
    </row>
    <row r="36" spans="2:2">
      <c r="B36" t="s">
        <v>328</v>
      </c>
    </row>
    <row r="37" spans="2:2">
      <c r="B37" t="s">
        <v>331</v>
      </c>
    </row>
    <row r="40" spans="2:2">
      <c r="B40" t="s">
        <v>332</v>
      </c>
    </row>
    <row r="41" spans="2:2">
      <c r="B41" t="s">
        <v>333</v>
      </c>
    </row>
    <row r="45" spans="2:2">
      <c r="B45" t="s">
        <v>397</v>
      </c>
    </row>
    <row r="47" spans="2:2">
      <c r="B47" t="s">
        <v>428</v>
      </c>
    </row>
    <row r="48" spans="2:2">
      <c r="B48" t="s">
        <v>429</v>
      </c>
    </row>
    <row r="49" spans="2:2">
      <c r="B49" t="s">
        <v>430</v>
      </c>
    </row>
    <row r="50" spans="2:2">
      <c r="B50" t="s">
        <v>431</v>
      </c>
    </row>
    <row r="51" spans="2:2">
      <c r="B51" t="s">
        <v>432</v>
      </c>
    </row>
    <row r="54" spans="2:2">
      <c r="B54" t="s">
        <v>453</v>
      </c>
    </row>
    <row r="55" spans="2:2">
      <c r="B55" t="s">
        <v>461</v>
      </c>
    </row>
    <row r="56" spans="2:2">
      <c r="B56" t="s">
        <v>454</v>
      </c>
    </row>
    <row r="61" spans="2:2">
      <c r="B61" t="s">
        <v>455</v>
      </c>
    </row>
    <row r="62" spans="2:2">
      <c r="B62" t="s">
        <v>456</v>
      </c>
    </row>
    <row r="63" spans="2:2">
      <c r="B63" t="s">
        <v>457</v>
      </c>
    </row>
    <row r="64" spans="2:2">
      <c r="B64" t="s">
        <v>458</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8AC8-7610-4AC5-B6A1-107905495902}">
  <dimension ref="A1:G22"/>
  <sheetViews>
    <sheetView workbookViewId="0">
      <selection activeCell="F23" sqref="F23"/>
    </sheetView>
  </sheetViews>
  <sheetFormatPr defaultRowHeight="18.75"/>
  <sheetData>
    <row r="1" spans="1:7">
      <c r="A1" s="41"/>
      <c r="B1" s="42"/>
      <c r="C1" s="42"/>
      <c r="D1" s="42"/>
      <c r="E1" s="42"/>
      <c r="F1" s="42"/>
      <c r="G1" s="43"/>
    </row>
    <row r="2" spans="1:7">
      <c r="A2" s="44"/>
      <c r="G2" s="45"/>
    </row>
    <row r="3" spans="1:7">
      <c r="A3" s="44"/>
      <c r="C3" t="s">
        <v>185</v>
      </c>
      <c r="G3" s="45"/>
    </row>
    <row r="4" spans="1:7">
      <c r="A4" s="44"/>
      <c r="C4" t="s">
        <v>71</v>
      </c>
      <c r="G4" s="45"/>
    </row>
    <row r="5" spans="1:7">
      <c r="A5" s="44"/>
      <c r="C5" t="s">
        <v>186</v>
      </c>
      <c r="G5" s="45"/>
    </row>
    <row r="6" spans="1:7">
      <c r="A6" s="44"/>
      <c r="C6" t="s">
        <v>188</v>
      </c>
      <c r="G6" s="45"/>
    </row>
    <row r="7" spans="1:7">
      <c r="A7" s="44"/>
      <c r="C7" t="s">
        <v>194</v>
      </c>
      <c r="G7" s="45"/>
    </row>
    <row r="8" spans="1:7">
      <c r="A8" s="44"/>
      <c r="G8" s="45"/>
    </row>
    <row r="9" spans="1:7">
      <c r="A9" s="44"/>
      <c r="B9" t="s">
        <v>187</v>
      </c>
      <c r="D9" t="s">
        <v>189</v>
      </c>
      <c r="F9" t="s">
        <v>192</v>
      </c>
      <c r="G9" s="45"/>
    </row>
    <row r="10" spans="1:7">
      <c r="A10" s="44"/>
      <c r="B10" t="s">
        <v>71</v>
      </c>
      <c r="D10" t="s">
        <v>190</v>
      </c>
      <c r="F10" t="s">
        <v>193</v>
      </c>
      <c r="G10" s="45"/>
    </row>
    <row r="11" spans="1:7">
      <c r="A11" s="44"/>
      <c r="B11" t="s">
        <v>186</v>
      </c>
      <c r="D11" t="s">
        <v>191</v>
      </c>
      <c r="F11" t="s">
        <v>69</v>
      </c>
      <c r="G11" s="45"/>
    </row>
    <row r="12" spans="1:7">
      <c r="A12" s="44"/>
      <c r="B12" t="s">
        <v>188</v>
      </c>
      <c r="D12" t="s">
        <v>188</v>
      </c>
      <c r="F12" t="s">
        <v>188</v>
      </c>
      <c r="G12" s="45"/>
    </row>
    <row r="13" spans="1:7">
      <c r="A13" s="44"/>
      <c r="B13" t="s">
        <v>194</v>
      </c>
      <c r="D13" t="s">
        <v>186</v>
      </c>
      <c r="F13" t="s">
        <v>186</v>
      </c>
      <c r="G13" s="45"/>
    </row>
    <row r="14" spans="1:7" ht="19.5" thickBot="1">
      <c r="A14" s="46"/>
      <c r="B14" s="47"/>
      <c r="C14" s="47"/>
      <c r="D14" s="47" t="s">
        <v>194</v>
      </c>
      <c r="E14" s="47"/>
      <c r="F14" s="47" t="s">
        <v>194</v>
      </c>
      <c r="G14" s="48"/>
    </row>
    <row r="17" spans="2:6">
      <c r="B17" t="s">
        <v>195</v>
      </c>
      <c r="D17" t="s">
        <v>198</v>
      </c>
    </row>
    <row r="18" spans="2:6">
      <c r="B18" t="s">
        <v>74</v>
      </c>
      <c r="D18" t="s">
        <v>197</v>
      </c>
    </row>
    <row r="19" spans="2:6">
      <c r="B19" t="s">
        <v>71</v>
      </c>
      <c r="D19" t="s">
        <v>199</v>
      </c>
    </row>
    <row r="20" spans="2:6">
      <c r="B20" t="s">
        <v>196</v>
      </c>
      <c r="D20" t="s">
        <v>200</v>
      </c>
    </row>
    <row r="21" spans="2:6">
      <c r="B21" t="s">
        <v>97</v>
      </c>
    </row>
    <row r="22" spans="2:6">
      <c r="D22" t="s">
        <v>201</v>
      </c>
      <c r="F22" t="s">
        <v>202</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2B08E-4005-4196-B3E0-F413A5A01C4A}">
  <dimension ref="A1:AK43"/>
  <sheetViews>
    <sheetView workbookViewId="0">
      <selection activeCell="AK26" sqref="AK26"/>
    </sheetView>
  </sheetViews>
  <sheetFormatPr defaultColWidth="4" defaultRowHeight="18.75"/>
  <sheetData>
    <row r="1" spans="1:33">
      <c r="M1" t="s">
        <v>101</v>
      </c>
      <c r="T1" t="s">
        <v>115</v>
      </c>
      <c r="AE1" t="s">
        <v>125</v>
      </c>
    </row>
    <row r="2" spans="1:33">
      <c r="B2" s="40" t="s">
        <v>152</v>
      </c>
      <c r="C2" s="40"/>
      <c r="D2" s="40"/>
      <c r="E2" s="40"/>
      <c r="M2" t="s">
        <v>102</v>
      </c>
      <c r="AE2" t="s">
        <v>138</v>
      </c>
    </row>
    <row r="3" spans="1:33">
      <c r="B3" t="s">
        <v>97</v>
      </c>
      <c r="M3" t="s">
        <v>103</v>
      </c>
      <c r="R3" t="s">
        <v>144</v>
      </c>
      <c r="AE3" t="s">
        <v>126</v>
      </c>
      <c r="AG3" t="s">
        <v>139</v>
      </c>
    </row>
    <row r="4" spans="1:33">
      <c r="B4" t="s">
        <v>98</v>
      </c>
      <c r="M4" t="s">
        <v>137</v>
      </c>
      <c r="AE4" t="s">
        <v>127</v>
      </c>
    </row>
    <row r="5" spans="1:33">
      <c r="B5" t="s">
        <v>71</v>
      </c>
      <c r="M5" t="s">
        <v>104</v>
      </c>
      <c r="AE5" t="s">
        <v>128</v>
      </c>
    </row>
    <row r="6" spans="1:33">
      <c r="B6" t="s">
        <v>99</v>
      </c>
      <c r="M6" t="s">
        <v>105</v>
      </c>
      <c r="AE6" t="s">
        <v>129</v>
      </c>
    </row>
    <row r="7" spans="1:33">
      <c r="B7" t="s">
        <v>100</v>
      </c>
      <c r="M7" t="s">
        <v>106</v>
      </c>
      <c r="R7" t="s">
        <v>114</v>
      </c>
      <c r="AE7" t="s">
        <v>130</v>
      </c>
    </row>
    <row r="8" spans="1:33">
      <c r="B8" t="s">
        <v>72</v>
      </c>
      <c r="M8" t="s">
        <v>73</v>
      </c>
    </row>
    <row r="10" spans="1:33">
      <c r="AE10" t="s">
        <v>142</v>
      </c>
    </row>
    <row r="11" spans="1:33">
      <c r="M11" t="s">
        <v>117</v>
      </c>
    </row>
    <row r="12" spans="1:33">
      <c r="M12" t="s">
        <v>118</v>
      </c>
      <c r="AE12" t="s">
        <v>141</v>
      </c>
    </row>
    <row r="13" spans="1:33">
      <c r="B13" t="s">
        <v>46</v>
      </c>
      <c r="M13" t="s">
        <v>123</v>
      </c>
    </row>
    <row r="14" spans="1:33">
      <c r="A14" t="s">
        <v>108</v>
      </c>
      <c r="B14" t="s">
        <v>107</v>
      </c>
      <c r="D14" t="s">
        <v>109</v>
      </c>
    </row>
    <row r="15" spans="1:33">
      <c r="D15" t="s">
        <v>140</v>
      </c>
      <c r="M15" t="s">
        <v>119</v>
      </c>
    </row>
    <row r="16" spans="1:33">
      <c r="M16" t="s">
        <v>120</v>
      </c>
      <c r="AF16" s="39" t="s">
        <v>146</v>
      </c>
      <c r="AG16" s="39"/>
    </row>
    <row r="17" spans="1:37">
      <c r="B17" t="s">
        <v>110</v>
      </c>
      <c r="F17" t="s">
        <v>111</v>
      </c>
      <c r="M17" t="s">
        <v>124</v>
      </c>
      <c r="AF17" t="s">
        <v>147</v>
      </c>
      <c r="AK17" t="s">
        <v>149</v>
      </c>
    </row>
    <row r="18" spans="1:37">
      <c r="M18" t="s">
        <v>121</v>
      </c>
      <c r="AF18" t="s">
        <v>148</v>
      </c>
    </row>
    <row r="19" spans="1:37">
      <c r="B19" t="s">
        <v>113</v>
      </c>
      <c r="D19" t="s">
        <v>111</v>
      </c>
      <c r="M19" t="s">
        <v>122</v>
      </c>
      <c r="AF19" t="s">
        <v>150</v>
      </c>
    </row>
    <row r="20" spans="1:37">
      <c r="AF20" t="s">
        <v>139</v>
      </c>
    </row>
    <row r="21" spans="1:37">
      <c r="B21" t="s">
        <v>112</v>
      </c>
      <c r="D21" t="s">
        <v>111</v>
      </c>
    </row>
    <row r="22" spans="1:37">
      <c r="M22" t="s">
        <v>143</v>
      </c>
    </row>
    <row r="24" spans="1:37">
      <c r="D24" t="s">
        <v>214</v>
      </c>
    </row>
    <row r="28" spans="1:37">
      <c r="A28" t="s">
        <v>215</v>
      </c>
    </row>
    <row r="38" spans="1:15">
      <c r="A38" t="s">
        <v>125</v>
      </c>
    </row>
    <row r="41" spans="1:15">
      <c r="A41" t="s">
        <v>217</v>
      </c>
    </row>
    <row r="42" spans="1:15">
      <c r="A42" t="s">
        <v>218</v>
      </c>
    </row>
    <row r="43" spans="1:15">
      <c r="O43" t="s">
        <v>216</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F96B1-EBF5-4BB2-93CD-A0906537FC8C}">
  <dimension ref="C2:X16"/>
  <sheetViews>
    <sheetView workbookViewId="0">
      <selection activeCell="S20" sqref="S20"/>
    </sheetView>
  </sheetViews>
  <sheetFormatPr defaultColWidth="3.875" defaultRowHeight="18.75"/>
  <cols>
    <col min="25" max="25" width="3.625" customWidth="1"/>
  </cols>
  <sheetData>
    <row r="2" spans="3:24">
      <c r="C2" s="40" t="s">
        <v>151</v>
      </c>
      <c r="D2" s="40"/>
      <c r="E2" s="40"/>
      <c r="Q2" t="s">
        <v>153</v>
      </c>
    </row>
    <row r="4" spans="3:24">
      <c r="C4" t="s">
        <v>171</v>
      </c>
      <c r="Q4" t="s">
        <v>169</v>
      </c>
    </row>
    <row r="5" spans="3:24">
      <c r="C5" t="s">
        <v>170</v>
      </c>
      <c r="I5" t="s">
        <v>182</v>
      </c>
      <c r="Q5" t="s">
        <v>180</v>
      </c>
    </row>
    <row r="6" spans="3:24">
      <c r="C6" t="s">
        <v>181</v>
      </c>
      <c r="I6" t="s">
        <v>183</v>
      </c>
      <c r="Q6" t="s">
        <v>154</v>
      </c>
      <c r="S6" t="s">
        <v>155</v>
      </c>
    </row>
    <row r="7" spans="3:24">
      <c r="Q7" t="s">
        <v>156</v>
      </c>
    </row>
    <row r="8" spans="3:24">
      <c r="C8" t="s">
        <v>173</v>
      </c>
      <c r="Q8" t="s">
        <v>157</v>
      </c>
    </row>
    <row r="9" spans="3:24">
      <c r="C9" t="s">
        <v>177</v>
      </c>
      <c r="I9" t="s">
        <v>183</v>
      </c>
      <c r="Q9" t="s">
        <v>175</v>
      </c>
      <c r="X9" t="s">
        <v>176</v>
      </c>
    </row>
    <row r="10" spans="3:24">
      <c r="C10" t="s">
        <v>172</v>
      </c>
      <c r="Q10" t="s">
        <v>158</v>
      </c>
    </row>
    <row r="11" spans="3:24">
      <c r="C11" t="s">
        <v>174</v>
      </c>
      <c r="I11" t="s">
        <v>182</v>
      </c>
      <c r="Q11" t="s">
        <v>159</v>
      </c>
    </row>
    <row r="12" spans="3:24">
      <c r="Q12" t="s">
        <v>160</v>
      </c>
    </row>
    <row r="13" spans="3:24">
      <c r="C13" t="s">
        <v>178</v>
      </c>
      <c r="Q13" t="s">
        <v>161</v>
      </c>
      <c r="S13" t="s">
        <v>162</v>
      </c>
    </row>
    <row r="14" spans="3:24">
      <c r="C14" t="s">
        <v>179</v>
      </c>
      <c r="I14" t="s">
        <v>184</v>
      </c>
      <c r="Q14" t="s">
        <v>163</v>
      </c>
      <c r="S14" t="s">
        <v>164</v>
      </c>
    </row>
    <row r="15" spans="3:24">
      <c r="Q15" t="s">
        <v>165</v>
      </c>
      <c r="R15" t="s">
        <v>166</v>
      </c>
    </row>
    <row r="16" spans="3:24">
      <c r="Q16" t="s">
        <v>167</v>
      </c>
      <c r="S16" t="s">
        <v>168</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947F-A3A0-4027-965D-A484FB7F3C32}">
  <dimension ref="C1:AU33"/>
  <sheetViews>
    <sheetView zoomScale="70" zoomScaleNormal="70" workbookViewId="0">
      <selection activeCell="AA4" sqref="AA4"/>
    </sheetView>
  </sheetViews>
  <sheetFormatPr defaultColWidth="4.125" defaultRowHeight="18.75"/>
  <sheetData>
    <row r="1" spans="3:35" ht="19.5" thickBot="1"/>
    <row r="2" spans="3:35">
      <c r="C2" t="s">
        <v>116</v>
      </c>
      <c r="AE2" s="41" t="s">
        <v>204</v>
      </c>
      <c r="AF2" s="42"/>
      <c r="AG2" s="42"/>
      <c r="AH2" s="42"/>
      <c r="AI2" s="43"/>
    </row>
    <row r="3" spans="3:35">
      <c r="AE3" s="44" t="s">
        <v>205</v>
      </c>
      <c r="AI3" s="45"/>
    </row>
    <row r="4" spans="3:35">
      <c r="AE4" s="44" t="s">
        <v>206</v>
      </c>
      <c r="AI4" s="45"/>
    </row>
    <row r="5" spans="3:35" ht="19.5" thickBot="1">
      <c r="AE5" s="46" t="s">
        <v>210</v>
      </c>
      <c r="AF5" s="47"/>
      <c r="AG5" s="47"/>
      <c r="AH5" s="47"/>
      <c r="AI5" s="48"/>
    </row>
    <row r="9" spans="3:35">
      <c r="AE9" t="s">
        <v>203</v>
      </c>
    </row>
    <row r="31" spans="34:47">
      <c r="AN31" t="s">
        <v>208</v>
      </c>
      <c r="AU31" t="s">
        <v>213</v>
      </c>
    </row>
    <row r="32" spans="34:47">
      <c r="AH32" t="s">
        <v>212</v>
      </c>
      <c r="AN32" t="s">
        <v>209</v>
      </c>
    </row>
    <row r="33" spans="40:40">
      <c r="AN33" t="s">
        <v>211</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14457C4DEF6B04C80335F04D9CFE9B8" ma:contentTypeVersion="15" ma:contentTypeDescription="新しいドキュメントを作成します。" ma:contentTypeScope="" ma:versionID="384833ccc4364158daff1dfa93252050">
  <xsd:schema xmlns:xsd="http://www.w3.org/2001/XMLSchema" xmlns:xs="http://www.w3.org/2001/XMLSchema" xmlns:p="http://schemas.microsoft.com/office/2006/metadata/properties" xmlns:ns2="42b7366e-3919-4bb8-9917-4115af4f71f0" xmlns:ns3="3fed6739-56b2-4f96-bdeb-921328dde709" targetNamespace="http://schemas.microsoft.com/office/2006/metadata/properties" ma:root="true" ma:fieldsID="8d3663068ba8e99c0b99c921911a4360" ns2:_="" ns3:_="">
    <xsd:import namespace="42b7366e-3919-4bb8-9917-4115af4f71f0"/>
    <xsd:import namespace="3fed6739-56b2-4f96-bdeb-921328dde7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b7366e-3919-4bb8-9917-4115af4f71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ed6739-56b2-4f96-bdeb-921328dde709"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233731c5-1d9c-498f-8754-23ebfc73d042}" ma:internalName="TaxCatchAll" ma:showField="CatchAllData" ma:web="3fed6739-56b2-4f96-bdeb-921328dde7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fed6739-56b2-4f96-bdeb-921328dde709" xsi:nil="true"/>
    <lcf76f155ced4ddcb4097134ff3c332f xmlns="42b7366e-3919-4bb8-9917-4115af4f71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F17534-2B47-4857-AC25-7C99424F8AA0}">
  <ds:schemaRefs>
    <ds:schemaRef ds:uri="http://schemas.microsoft.com/sharepoint/v3/contenttype/forms"/>
  </ds:schemaRefs>
</ds:datastoreItem>
</file>

<file path=customXml/itemProps2.xml><?xml version="1.0" encoding="utf-8"?>
<ds:datastoreItem xmlns:ds="http://schemas.openxmlformats.org/officeDocument/2006/customXml" ds:itemID="{1B0A0972-5393-459A-8603-138D87B70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b7366e-3919-4bb8-9917-4115af4f71f0"/>
    <ds:schemaRef ds:uri="3fed6739-56b2-4f96-bdeb-921328dde7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2E9DAB-F6A4-45C4-BAF5-BF43C147BB10}">
  <ds:schemaRefs>
    <ds:schemaRef ds:uri="http://schemas.microsoft.com/office/2006/metadata/properties"/>
    <ds:schemaRef ds:uri="http://schemas.microsoft.com/office/infopath/2007/PartnerControls"/>
    <ds:schemaRef ds:uri="3fed6739-56b2-4f96-bdeb-921328dde709"/>
    <ds:schemaRef ds:uri="42b7366e-3919-4bb8-9917-4115af4f71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概要</vt:lpstr>
      <vt:lpstr>作業工数見積もり</vt:lpstr>
      <vt:lpstr>カレンダー</vt:lpstr>
      <vt:lpstr>日記</vt:lpstr>
      <vt:lpstr>Sheet1</vt:lpstr>
      <vt:lpstr>メモ</vt:lpstr>
      <vt:lpstr>雑用</vt:lpstr>
      <vt:lpstr>仕様書①</vt:lpstr>
      <vt:lpstr>仕様書②</vt:lpstr>
      <vt:lpstr>クラス設計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teacherM</dc:creator>
  <cp:keywords/>
  <dc:description/>
  <cp:lastModifiedBy>平尾　泰稀</cp:lastModifiedBy>
  <cp:revision/>
  <dcterms:created xsi:type="dcterms:W3CDTF">2015-06-05T18:19:34Z</dcterms:created>
  <dcterms:modified xsi:type="dcterms:W3CDTF">2026-07-20T04:31:13Z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0x010100914457C4DEF6B04C80335F04D9CFE9B8</vt:lpwstr>
  </property>
  <property fmtid="{D5CDD505-2E9C-101B-9397-08002B2CF9AE}" pid="3" name="MediaServiceImageTags">
    <vt:lpwstr/>
  </property>
</Properties>
</file>