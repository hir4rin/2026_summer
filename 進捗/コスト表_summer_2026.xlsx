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tsyts\GitHub\2026_summer\進捗\"/>
    </mc:Choice>
  </mc:AlternateContent>
  <xr:revisionPtr revIDLastSave="0" documentId="13_ncr:1_{10A17590-3369-43E4-B4AF-CE4A6D0F11E7}" xr6:coauthVersionLast="47" xr6:coauthVersionMax="47" xr10:uidLastSave="{00000000-0000-0000-0000-000000000000}"/>
  <bookViews>
    <workbookView xWindow="3720" yWindow="4380" windowWidth="22110" windowHeight="11100" activeTab="3" xr2:uid="{00000000-000D-0000-FFFF-FFFF00000000}"/>
  </bookViews>
  <sheets>
    <sheet name="概要" sheetId="5" r:id="rId1"/>
    <sheet name="作業工数見積もり" sheetId="1" r:id="rId2"/>
    <sheet name="カレンダー" sheetId="6" r:id="rId3"/>
    <sheet name="日記" sheetId="12" r:id="rId4"/>
    <sheet name="Sheet1" sheetId="16" r:id="rId5"/>
    <sheet name="メモ" sheetId="9" r:id="rId6"/>
    <sheet name="雑用" sheetId="10" r:id="rId7"/>
    <sheet name="仕様書①" sheetId="13" r:id="rId8"/>
    <sheet name="仕様書②" sheetId="15" r:id="rId9"/>
    <sheet name="クラス設計" sheetId="14" r:id="rId10"/>
  </sheets>
  <definedNames>
    <definedName name="_xlnm._FilterDatabase" localSheetId="1" hidden="1">作業工数見積もり!$B$2:$G$55</definedName>
  </definedNames>
  <calcPr calcId="191028"/>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<sst xmlns="http://schemas.openxmlformats.org/spreadsheetml/2006/main" count="700" uniqueCount="461">
  <si>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</si>
  <si>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</si>
  <si>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</si>
  <si>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</si>
  <si>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</si>
  <si>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</si>
  <si>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</si>
  <si>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</si>
  <si>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</si>
  <si>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</si>
  <si>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</si>
  <si>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</si>
  <si>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</si>
  <si>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</si>
  <si>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</si>
  <si>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</si>
  <si>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</si>
  <si>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</si>
  <si>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</si>
  <si>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</si>
  <si>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</si>
  <si>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</si>
  <si>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</si>
  <si>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</si>
  <si>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</si>
  <si>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</si>
  <si>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</si>
  <si>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</si>
  <si>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</si>
  <si>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</si>
  <si>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</si>
  <si>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</si>
  <si>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</si>
  <si>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</si>
  <si>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</si>
  <si>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</si>
  <si>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</si>
  <si>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</si>
  <si>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</si>
  <si>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</si>
  <si>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</si>
  <si>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</si>
  <si>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</si>
  <si>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</si>
  <si>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</si>
  <si>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</si>
  <si>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</si>
  <si>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</si>
  <si>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</si>
  <si>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</si>
  <si>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</si>
  <si>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</si>
  <si>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</si>
  <si>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</si>
  <si>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</si>
  <si>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</si>
  <si>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</si>
  <si>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</si>
  <si>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</si>
  <si>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</si>
  <si>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</si>
  <si>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</si>
  <si>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</si>
  <si>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</si>
  <si>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</si>
  <si>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</si>
  <si>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</si>
  <si>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</si>
  <si>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</si>
  <si>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</si>
  <si>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</si>
  <si>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</si>
  <si>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</si>
  <si>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</si>
  <si>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</si>
  <si>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</si>
  <si>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</si>
  <si>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</si>
  <si>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</si>
  <si>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</si>
  <si>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</si>
  <si>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</si>
  <si>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</si>
  <si>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</si>
  <si>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</si>
  <si>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</si>
  <si>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</si>
  <si>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</si>
  <si>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</si>
  <si>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</si>
  <si>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</si>
  <si>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</si>
  <si>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</si>
  <si>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</si>
  <si>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</si>
  <si>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</si>
  <si>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</si>
  <si>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</si>
  <si>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</si>
  <si>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</si>
  <si>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</si>
  <si>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</si>
  <si>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</si>
  <si>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</si>
  <si>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</si>
  <si>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</si>
  <si>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</si>
  <si>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</si>
  <si>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</si>
  <si>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</si>
  <si>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</si>
  <si>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</si>
  <si>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</si>
  <si>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</si>
  <si>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</si>
  <si>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</si>
  <si>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</si>
  <si>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</si>
  <si>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</si>
  <si>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</si>
  <si>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</si>
  <si>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</si>
  <si>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</si>
  <si>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</si>
  <si>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</si>
  <si>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</si>
  <si>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</si>
  <si>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</si>
  <si>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</si>
  <si>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</si>
  <si>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</si>
  <si>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</si>
  <si>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</si>
  <si>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</si>
  <si>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</si>
  <si>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</si>
  <si>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</si>
  <si>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</si>
  <si>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</si>
  <si>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</si>
  <si>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</si>
  <si>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</si>
  <si>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</si>
  <si>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</si>
  <si>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</si>
  <si>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</si>
  <si>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</si>
  <si>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</si>
  <si>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</si>
  <si>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</si>
  <si>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</si>
  <si>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</si>
  <si>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</si>
  <si>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</si>
  <si>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</si>
  <si>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</si>
  <si>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</si>
  <si>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</si>
  <si>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</si>
  <si>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</si>
  <si>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</si>
  <si>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</si>
  <si>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</si>
  <si>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</si>
  <si>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</si>
  <si>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</si>
  <si>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</si>
  <si>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</si>
  <si>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</si>
  <si>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</si>
  <si>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</si>
  <si>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</si>
  <si>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</si>
  <si>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</si>
  <si>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</si>
  <si>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</si>
  <si>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</si>
  <si>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</si>
  <si>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</si>
  <si>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</si>
  <si>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</si>
  <si>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</si>
  <si>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</si>
  <si>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</si>
  <si>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</si>
  <si>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</si>
  <si>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</si>
  <si>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</si>
  <si>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</si>
  <si>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</si>
  <si>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</si>
  <si>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</si>
  <si>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</si>
  <si>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</si>
  <si>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</si>
  <si>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</si>
  <si>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</si>
  <si>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</si>
  <si>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</si>
  <si>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</si>
  <si>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</si>
  <si>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</si>
  <si>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</si>
  <si>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</si>
  <si>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</si>
  <si>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</si>
  <si>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</si>
  <si>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</si>
  <si>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</si>
  <si>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</si>
  <si>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</si>
  <si>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</si>
  <si>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</si>
  <si>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</si>
  <si>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</si>
  <si>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</si>
  <si>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</si>
  <si>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</si>
  <si>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</si>
  <si>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</si>
  <si>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</si>
  <si>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</si>
  <si>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</si>
  <si>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</si>
  <si>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</si>
  <si>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</si>
  <si>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</si>
  <si>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</si>
  <si>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</si>
  <si>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</si>
  <si>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</si>
  <si>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</si>
  <si>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</si>
  <si>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</si>
  <si>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</si>
  <si>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</si>
  <si>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</si>
  <si>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</si>
  <si>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</si>
  <si>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</si>
  <si>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</si>
  <si>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</si>
  <si>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</si>
  <si>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</si>
  <si>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</si>
  <si>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</si>
  <si>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</si>
  <si>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</si>
  <si>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</si>
  <si>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</si>
  <si>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</si>
  <si>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</si>
  <si>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</si>
  <si>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</si>
  <si>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</si>
  <si>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</si>
  <si>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</si>
  <si>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</si>
  <si>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</si>
  <si>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</si>
  <si>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</si>
  <si>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</si>
  <si>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</si>
  <si>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</si>
  <si>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</si>
  <si>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</si>
  <si>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</si>
  <si>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</si>
  <si>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</si>
  <si>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</si>
  <si>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</si>
  <si>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</si>
  <si>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</si>
  <si>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</si>
  <si>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</si>
  <si>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</si>
  <si>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</si>
  <si>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</si>
  <si>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</si>
  <si>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</si>
  <si>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</si>
  <si>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</si>
  <si>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</si>
  <si>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</si>
  <si>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</si>
  <si>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</si>
  <si>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</si>
  <si>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</si>
  <si>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</si>
  <si>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</si>
  <si>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</si>
  <si>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</si>
  <si>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</si>
  <si>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</si>
  <si>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</si>
  <si>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</si>
  <si>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</si>
  <si>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</si>
  <si>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</si>
  <si>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</si>
  <si>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</si>
  <si>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</si>
  <si>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</si>
  <si>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</si>
  <si>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</si>
  <si>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</si>
  <si>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</si>
  <si>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</si>
  <si>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</si>
  <si>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</si>
  <si>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</si>
  <si>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</si>
  <si>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</si>
  <si>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</si>
  <si>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</si>
  <si>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</si>
  <si>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</si>
  <si>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</si>
  <si>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</si>
  <si>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</si>
  <si>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ロックオンした時はプレイヤーと敵の中間点をカメラは見続ける</t>
    <rPh sb="7" eb="8">
      <t>トキ</t>
    </rPh>
    <rPh sb="15" eb="16">
      <t>テキ</t>
    </rPh>
    <rPh sb="17" eb="20">
      <t>チュウカンテン</t>
    </rPh>
    <rPh sb="25" eb="27">
      <t>ミツヅ</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</si>
  <si>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</si>
  <si>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</si>
  <si>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</si>
  <si>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</si>
  <si>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</si>
  <si>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攻撃がおそらく単体にしか当たっていない</t>
    <rPh sb="0" eb="2">
      <t>コウゲキ</t>
    </rPh>
    <rPh sb="7" eb="9">
      <t>タンタイ</t>
    </rPh>
    <rPh sb="12" eb="13">
      <t>ア</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</si>
  <si>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</si>
  <si>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</si>
  <si>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</si>
  <si>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</si>
  <si>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</si>
  <si>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</si>
  <si>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</si>
  <si>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今、ジャスト回避を作っていて、ジャスト回避用のColliderをつくるところ</t>
    <rPh sb="0" eb="1">
      <t>イマ</t>
    </rPh>
    <rPh sb="6" eb="8">
      <t>カイヒ</t>
    </rPh>
    <rPh sb="9" eb="10">
      <t>ツク</t>
    </rPh>
    <rPh sb="19" eb="21">
      <t>カイヒ</t>
    </rPh>
    <rPh sb="21" eb="22">
      <t>ヨウ</t>
    </rPh>
    <phoneticPr fontId="1"/>
  </si>
  <si>
    <t>敵の方向に攻撃が向かうようにする</t>
    <rPh sb="0" eb="1">
      <t>テキ</t>
    </rPh>
    <rPh sb="2" eb="4">
      <t>ホウコウ</t>
    </rPh>
    <rPh sb="5" eb="7">
      <t>コウゲキ</t>
    </rPh>
    <rPh sb="8" eb="9">
      <t>ム</t>
    </rPh>
    <phoneticPr fontId="1"/>
  </si>
  <si>
    <t>必殺技時のタイムスケールが変</t>
    <rPh sb="0" eb="3">
      <t>ヒッサツワザ</t>
    </rPh>
    <rPh sb="3" eb="4">
      <t>ジ</t>
    </rPh>
    <rPh sb="13" eb="14">
      <t>ヘン</t>
    </rPh>
    <phoneticPr fontId="1"/>
  </si>
  <si>
    <t>ジャスト回避の優先順位を下げた</t>
    <rPh sb="4" eb="6">
      <t>カイヒ</t>
    </rPh>
    <rPh sb="7" eb="11">
      <t>ユウセンジュンイ</t>
    </rPh>
    <rPh sb="12" eb="13">
      <t>サ</t>
    </rPh>
    <phoneticPr fontId="1"/>
  </si>
  <si>
    <t>スキル攻撃からの通常攻撃をスムーズになるようにした</t>
    <rPh sb="3" eb="5">
      <t>コウゲキ</t>
    </rPh>
    <rPh sb="8" eb="12">
      <t>ツウジョウコウゲキ</t>
    </rPh>
    <phoneticPr fontId="1"/>
  </si>
  <si>
    <t>空中での攻撃回数を制限しないといけない</t>
    <rPh sb="0" eb="2">
      <t>クウチュウ</t>
    </rPh>
    <rPh sb="4" eb="8">
      <t>コウゲキカイスウ</t>
    </rPh>
    <rPh sb="9" eb="11">
      <t>セイゲン</t>
    </rPh>
    <phoneticPr fontId="1"/>
  </si>
  <si>
    <t>終わらせた。次は、いよいよプレイヤーの攻撃方向、内部ロックオン関連かなー</t>
    <rPh sb="0" eb="1">
      <t>オ</t>
    </rPh>
    <rPh sb="6" eb="7">
      <t>ツギ</t>
    </rPh>
    <rPh sb="19" eb="21">
      <t>コウゲキ</t>
    </rPh>
    <rPh sb="21" eb="23">
      <t>ホウコウ</t>
    </rPh>
    <rPh sb="24" eb="26">
      <t>ナイブ</t>
    </rPh>
    <rPh sb="31" eb="33">
      <t>カンレン</t>
    </rPh>
    <phoneticPr fontId="1"/>
  </si>
  <si>
    <t>それか必殺技、スキルのシステム</t>
    <rPh sb="3" eb="6">
      <t>ヒッサツワザ</t>
    </rPh>
    <phoneticPr fontId="1"/>
  </si>
  <si>
    <t>ドロップ攻撃の終わり際に攻撃判定をつけて、ドロップ攻撃後、周囲は吹き飛ぶようにする</t>
    <rPh sb="4" eb="6">
      <t>コウゲキ</t>
    </rPh>
    <rPh sb="7" eb="11">
      <t>オワリギワ</t>
    </rPh>
    <rPh sb="12" eb="16">
      <t>コウゲキハンテイ</t>
    </rPh>
    <rPh sb="25" eb="28">
      <t>コウゲキゴ</t>
    </rPh>
    <rPh sb="29" eb="31">
      <t>シュウイ</t>
    </rPh>
    <rPh sb="32" eb="33">
      <t>フ</t>
    </rPh>
    <rPh sb="34" eb="35">
      <t>ト</t>
    </rPh>
    <phoneticPr fontId="1"/>
  </si>
  <si>
    <t>そのあと、プレイヤーの攻撃方向、内部ロックオン関連をやる</t>
    <rPh sb="11" eb="15">
      <t>コウゲキホウコウ</t>
    </rPh>
    <rPh sb="16" eb="18">
      <t>ナイブ</t>
    </rPh>
    <rPh sb="23" eb="25">
      <t>カンレン</t>
    </rPh>
    <phoneticPr fontId="1"/>
  </si>
  <si>
    <t>ドロップ攻撃の吹き飛ばし終わった、敵が吹き飛ばした後、すぐに動くより、吹っ飛んだ後、起き上がる時間、寝ている時間があったほうがいいと思うからそうしたい</t>
    <rPh sb="4" eb="6">
      <t>コウゲキ</t>
    </rPh>
    <rPh sb="7" eb="8">
      <t>フ</t>
    </rPh>
    <rPh sb="9" eb="10">
      <t>ト</t>
    </rPh>
    <rPh sb="12" eb="13">
      <t>オ</t>
    </rPh>
    <rPh sb="17" eb="18">
      <t>テキ</t>
    </rPh>
    <rPh sb="19" eb="20">
      <t>フ</t>
    </rPh>
    <rPh sb="21" eb="22">
      <t>ト</t>
    </rPh>
    <rPh sb="25" eb="26">
      <t>アト</t>
    </rPh>
    <rPh sb="30" eb="31">
      <t>ウゴ</t>
    </rPh>
    <rPh sb="35" eb="36">
      <t>フ</t>
    </rPh>
    <rPh sb="37" eb="38">
      <t>ト</t>
    </rPh>
    <rPh sb="40" eb="41">
      <t>アト</t>
    </rPh>
    <rPh sb="42" eb="43">
      <t>オ</t>
    </rPh>
    <rPh sb="44" eb="45">
      <t>ア</t>
    </rPh>
    <rPh sb="47" eb="49">
      <t>ジカン</t>
    </rPh>
    <rPh sb="50" eb="51">
      <t>ネ</t>
    </rPh>
    <rPh sb="54" eb="56">
      <t>ジカン</t>
    </rPh>
    <rPh sb="66" eb="67">
      <t>オモ</t>
    </rPh>
    <phoneticPr fontId="1"/>
  </si>
  <si>
    <t>でも、それは後回しでいいと思う</t>
    <rPh sb="6" eb="8">
      <t>アトマワ</t>
    </rPh>
    <rPh sb="13" eb="14">
      <t>オモ</t>
    </rPh>
    <phoneticPr fontId="1"/>
  </si>
  <si>
    <t>次は、ステージをもとにちゃんとwave制にする</t>
    <rPh sb="0" eb="1">
      <t>ツギ</t>
    </rPh>
    <rPh sb="19" eb="20">
      <t>セイ</t>
    </rPh>
    <phoneticPr fontId="1"/>
  </si>
  <si>
    <t>そのあと、攻撃の操作改善をやる</t>
    <rPh sb="5" eb="7">
      <t>コウゲキ</t>
    </rPh>
    <rPh sb="8" eb="12">
      <t>ソウサカイゼン</t>
    </rPh>
    <phoneticPr fontId="1"/>
  </si>
  <si>
    <t>血殺シーン、やっぱり敵も黒く描画したいかも、シェーダーで。（敵が目立ってあんまりな感じがした）</t>
    <rPh sb="0" eb="1">
      <t>チ</t>
    </rPh>
    <rPh sb="1" eb="2">
      <t>サツ</t>
    </rPh>
    <rPh sb="10" eb="11">
      <t>テキ</t>
    </rPh>
    <rPh sb="12" eb="13">
      <t>クロ</t>
    </rPh>
    <rPh sb="14" eb="16">
      <t>ビョウガ</t>
    </rPh>
    <rPh sb="30" eb="31">
      <t>テキ</t>
    </rPh>
    <rPh sb="32" eb="34">
      <t>メダ</t>
    </rPh>
    <rPh sb="41" eb="42">
      <t>カン</t>
    </rPh>
    <phoneticPr fontId="1"/>
  </si>
  <si>
    <t>スカイボックス</t>
    <phoneticPr fontId="1"/>
  </si>
  <si>
    <t>インターン</t>
    <phoneticPr fontId="1"/>
  </si>
  <si>
    <t>be-ta最終が27日</t>
    <rPh sb="5" eb="7">
      <t>サイシュウ</t>
    </rPh>
    <rPh sb="10" eb="11">
      <t>ニチ</t>
    </rPh>
    <phoneticPr fontId="1"/>
  </si>
  <si>
    <t>敵が死んだときの配列の消去などをしていないので、旗を立ててそれをする</t>
    <rPh sb="0" eb="1">
      <t>テキ</t>
    </rPh>
    <rPh sb="2" eb="3">
      <t>シ</t>
    </rPh>
    <rPh sb="8" eb="10">
      <t>ハイレツ</t>
    </rPh>
    <rPh sb="11" eb="13">
      <t>ショウキョ</t>
    </rPh>
    <rPh sb="24" eb="25">
      <t>ハタ</t>
    </rPh>
    <rPh sb="26" eb="27">
      <t>タ</t>
    </rPh>
    <phoneticPr fontId="1"/>
  </si>
  <si>
    <t>地上5段完成している</t>
    <rPh sb="0" eb="2">
      <t>チジョウ</t>
    </rPh>
    <rPh sb="3" eb="4">
      <t>ダン</t>
    </rPh>
    <rPh sb="4" eb="6">
      <t>カンセイ</t>
    </rPh>
    <phoneticPr fontId="1"/>
  </si>
  <si>
    <t>x,y</t>
    <phoneticPr fontId="1"/>
  </si>
  <si>
    <t>xx,y</t>
    <phoneticPr fontId="1"/>
  </si>
  <si>
    <t>xxxy</t>
    <phoneticPr fontId="1"/>
  </si>
  <si>
    <t>切り上げ攻撃3種</t>
    <rPh sb="0" eb="1">
      <t>キ</t>
    </rPh>
    <rPh sb="7" eb="8">
      <t>シュ</t>
    </rPh>
    <phoneticPr fontId="1"/>
  </si>
  <si>
    <t>スキル3種</t>
    <rPh sb="4" eb="5">
      <t>シュ</t>
    </rPh>
    <phoneticPr fontId="1"/>
  </si>
  <si>
    <t>マスト</t>
    <phoneticPr fontId="1"/>
  </si>
  <si>
    <t>できたらうれしい</t>
    <phoneticPr fontId="1"/>
  </si>
  <si>
    <t>全部担当</t>
    <rPh sb="0" eb="2">
      <t>ゼンブ</t>
    </rPh>
    <rPh sb="2" eb="4">
      <t>タントウ</t>
    </rPh>
    <phoneticPr fontId="1"/>
  </si>
  <si>
    <t>たいき</t>
    <phoneticPr fontId="1"/>
  </si>
  <si>
    <t>歩き</t>
    <rPh sb="0" eb="1">
      <t>アル</t>
    </rPh>
    <phoneticPr fontId="1"/>
  </si>
  <si>
    <t>はしり</t>
    <phoneticPr fontId="1"/>
  </si>
  <si>
    <t>かいひ</t>
    <phoneticPr fontId="1"/>
  </si>
  <si>
    <t>バック回避</t>
    <rPh sb="3" eb="5">
      <t>カイヒ</t>
    </rPh>
    <phoneticPr fontId="1"/>
  </si>
  <si>
    <t>らっか</t>
    <phoneticPr fontId="1"/>
  </si>
  <si>
    <t>移動系</t>
    <rPh sb="0" eb="2">
      <t>イドウ</t>
    </rPh>
    <rPh sb="2" eb="3">
      <t>ケイ</t>
    </rPh>
    <phoneticPr fontId="1"/>
  </si>
  <si>
    <t>→</t>
    <phoneticPr fontId="1"/>
  </si>
  <si>
    <t>攻撃1</t>
    <rPh sb="0" eb="2">
      <t>コウゲキ</t>
    </rPh>
    <phoneticPr fontId="1"/>
  </si>
  <si>
    <t>コンボ</t>
    <phoneticPr fontId="1"/>
  </si>
  <si>
    <t>空中攻撃</t>
    <rPh sb="0" eb="2">
      <t>クウチュウ</t>
    </rPh>
    <rPh sb="2" eb="4">
      <t>コウゲキ</t>
    </rPh>
    <phoneticPr fontId="1"/>
  </si>
  <si>
    <t>弱4種</t>
    <rPh sb="0" eb="1">
      <t>ジャク</t>
    </rPh>
    <rPh sb="2" eb="3">
      <t>シュ</t>
    </rPh>
    <phoneticPr fontId="1"/>
  </si>
  <si>
    <t>強1種</t>
    <rPh sb="0" eb="1">
      <t>キョウ</t>
    </rPh>
    <rPh sb="2" eb="3">
      <t>シュ</t>
    </rPh>
    <phoneticPr fontId="1"/>
  </si>
  <si>
    <t>地上強攻撃</t>
    <rPh sb="0" eb="2">
      <t>チジョウ</t>
    </rPh>
    <rPh sb="2" eb="3">
      <t>キョウ</t>
    </rPh>
    <rPh sb="3" eb="5">
      <t>コウゲキ</t>
    </rPh>
    <phoneticPr fontId="1"/>
  </si>
  <si>
    <t>切り上げ攻撃</t>
    <rPh sb="0" eb="1">
      <t>キ</t>
    </rPh>
    <phoneticPr fontId="1"/>
  </si>
  <si>
    <t>モデル切り替えてアニメーションする仕組みを作る</t>
    <rPh sb="3" eb="4">
      <t>キ</t>
    </rPh>
    <rPh sb="5" eb="6">
      <t>カ</t>
    </rPh>
    <rPh sb="17" eb="19">
      <t>シク</t>
    </rPh>
    <rPh sb="21" eb="22">
      <t>ツク</t>
    </rPh>
    <phoneticPr fontId="1"/>
  </si>
  <si>
    <t>ウルトの当たり判定、ステートを作る、そこでのみ確殺が起こるようにする</t>
    <rPh sb="4" eb="5">
      <t>ア</t>
    </rPh>
    <rPh sb="7" eb="9">
      <t>ハンテイ</t>
    </rPh>
    <rPh sb="15" eb="16">
      <t>ツク</t>
    </rPh>
    <rPh sb="23" eb="25">
      <t>カクサツ</t>
    </rPh>
    <rPh sb="26" eb="27">
      <t>オ</t>
    </rPh>
    <phoneticPr fontId="1"/>
  </si>
  <si>
    <t>そのあと、攻撃の操作改善orアニメーション切り替え時のモデル切り替えの仕組みを作る</t>
    <rPh sb="5" eb="7">
      <t>コウゲキ</t>
    </rPh>
    <rPh sb="8" eb="12">
      <t>ソウサカイゼン</t>
    </rPh>
    <rPh sb="21" eb="22">
      <t>キ</t>
    </rPh>
    <rPh sb="23" eb="24">
      <t>カ</t>
    </rPh>
    <rPh sb="25" eb="26">
      <t>ジ</t>
    </rPh>
    <rPh sb="30" eb="31">
      <t>キ</t>
    </rPh>
    <rPh sb="32" eb="33">
      <t>カ</t>
    </rPh>
    <rPh sb="35" eb="37">
      <t>シク</t>
    </rPh>
    <rPh sb="39" eb="40">
      <t>ツク</t>
    </rPh>
    <phoneticPr fontId="1"/>
  </si>
  <si>
    <t>先にプロトを完成させてから、攻撃操作改善などをする</t>
    <rPh sb="0" eb="1">
      <t>サキ</t>
    </rPh>
    <rPh sb="6" eb="8">
      <t>カンセイ</t>
    </rPh>
    <rPh sb="14" eb="16">
      <t>コウゲキ</t>
    </rPh>
    <rPh sb="16" eb="18">
      <t>ソウサ</t>
    </rPh>
    <rPh sb="18" eb="20">
      <t>カイゼン</t>
    </rPh>
    <phoneticPr fontId="1"/>
  </si>
  <si>
    <t>次はプレイヤーの被弾の仕組みを作った後、プレイヤーのhpなどを表示して、、っていう風にする</t>
    <rPh sb="0" eb="1">
      <t>ツギ</t>
    </rPh>
    <rPh sb="8" eb="10">
      <t>ヒダン</t>
    </rPh>
    <rPh sb="11" eb="13">
      <t>シク</t>
    </rPh>
    <rPh sb="15" eb="16">
      <t>ツク</t>
    </rPh>
    <rPh sb="18" eb="19">
      <t>アト</t>
    </rPh>
    <rPh sb="31" eb="33">
      <t>ヒョウジ</t>
    </rPh>
    <rPh sb="41" eb="42">
      <t>フウ</t>
    </rPh>
    <phoneticPr fontId="1"/>
  </si>
  <si>
    <t>被弾を作った、今、プレイヤーが死ぬステートを作ってる</t>
    <rPh sb="0" eb="2">
      <t>ヒダン</t>
    </rPh>
    <rPh sb="3" eb="4">
      <t>ツク</t>
    </rPh>
    <rPh sb="7" eb="8">
      <t>イマ</t>
    </rPh>
    <rPh sb="15" eb="16">
      <t>シ</t>
    </rPh>
    <rPh sb="22" eb="23">
      <t>ツク</t>
    </rPh>
    <phoneticPr fontId="1"/>
  </si>
  <si>
    <t>それが終わったらプロとほぼ終わり</t>
    <rPh sb="3" eb="4">
      <t>オ</t>
    </rPh>
    <rPh sb="13" eb="14">
      <t>オ</t>
    </rPh>
    <phoneticPr fontId="1"/>
  </si>
  <si>
    <t>基本的なプロトは完成</t>
    <rPh sb="0" eb="3">
      <t>キホンテキ</t>
    </rPh>
    <rPh sb="8" eb="10">
      <t>カンセイ</t>
    </rPh>
    <phoneticPr fontId="1"/>
  </si>
  <si>
    <t>不安要素は、残り時間と、アニメーション</t>
    <rPh sb="0" eb="4">
      <t>フアンヨウソ</t>
    </rPh>
    <rPh sb="6" eb="7">
      <t>ノコ</t>
    </rPh>
    <rPh sb="8" eb="10">
      <t>ジカン</t>
    </rPh>
    <phoneticPr fontId="1"/>
  </si>
  <si>
    <t>次やることは攻撃の改善か、攻撃の際にモデルを切り替えること</t>
    <rPh sb="0" eb="1">
      <t>ツギ</t>
    </rPh>
    <rPh sb="6" eb="8">
      <t>コウゲキ</t>
    </rPh>
    <rPh sb="9" eb="11">
      <t>カイゼン</t>
    </rPh>
    <rPh sb="13" eb="15">
      <t>コウゲキ</t>
    </rPh>
    <rPh sb="16" eb="17">
      <t>サイ</t>
    </rPh>
    <rPh sb="22" eb="23">
      <t>キ</t>
    </rPh>
    <rPh sb="24" eb="25">
      <t>カ</t>
    </rPh>
    <phoneticPr fontId="1"/>
  </si>
  <si>
    <t>スキル、ウルトゲージ周り</t>
    <rPh sb="10" eb="11">
      <t>マワ</t>
    </rPh>
    <phoneticPr fontId="1"/>
  </si>
  <si>
    <t>ロックオンカメラ切り替え、死亡時の自動切換え</t>
    <rPh sb="8" eb="9">
      <t>キ</t>
    </rPh>
    <rPh sb="10" eb="11">
      <t>カ</t>
    </rPh>
    <rPh sb="13" eb="16">
      <t>シボウジ</t>
    </rPh>
    <rPh sb="17" eb="19">
      <t>ジドウ</t>
    </rPh>
    <rPh sb="19" eb="21">
      <t>キリカ</t>
    </rPh>
    <phoneticPr fontId="1"/>
  </si>
  <si>
    <t>ジャンプ時のカメラの改善終わり、</t>
    <rPh sb="4" eb="5">
      <t>ジ</t>
    </rPh>
    <rPh sb="10" eb="12">
      <t>カイゼン</t>
    </rPh>
    <rPh sb="12" eb="13">
      <t>オ</t>
    </rPh>
    <phoneticPr fontId="1"/>
  </si>
  <si>
    <t>敵が空中で死ぬの変だし、攻撃をした敵の空中-&gt;地面のノックバックが変</t>
    <rPh sb="0" eb="1">
      <t>テキ</t>
    </rPh>
    <rPh sb="2" eb="4">
      <t>クウチュウ</t>
    </rPh>
    <rPh sb="5" eb="6">
      <t>シ</t>
    </rPh>
    <rPh sb="8" eb="9">
      <t>ヘン</t>
    </rPh>
    <rPh sb="12" eb="14">
      <t>コウゲキ</t>
    </rPh>
    <rPh sb="17" eb="18">
      <t>テキ</t>
    </rPh>
    <rPh sb="19" eb="21">
      <t>クウチュウ</t>
    </rPh>
    <rPh sb="23" eb="25">
      <t>ジメン</t>
    </rPh>
    <rPh sb="33" eb="34">
      <t>ヘン</t>
    </rPh>
    <phoneticPr fontId="1"/>
  </si>
  <si>
    <t>敵が吹っ飛ばされた後は、しばらく動けない状態にしたい</t>
    <rPh sb="0" eb="1">
      <t>テキ</t>
    </rPh>
    <rPh sb="2" eb="3">
      <t>フ</t>
    </rPh>
    <rPh sb="4" eb="5">
      <t>ト</t>
    </rPh>
    <rPh sb="9" eb="10">
      <t>アト</t>
    </rPh>
    <rPh sb="16" eb="17">
      <t>ウゴ</t>
    </rPh>
    <rPh sb="20" eb="22">
      <t>ジョウタイ</t>
    </rPh>
    <phoneticPr fontId="1"/>
  </si>
  <si>
    <t>次やることは、攻撃の操作感改善のための、ロックオンシステムの改善</t>
    <rPh sb="0" eb="1">
      <t>ツギ</t>
    </rPh>
    <rPh sb="7" eb="9">
      <t>コウゲキ</t>
    </rPh>
    <rPh sb="10" eb="13">
      <t>ソウサカン</t>
    </rPh>
    <rPh sb="13" eb="15">
      <t>カイゼン</t>
    </rPh>
    <rPh sb="30" eb="32">
      <t>カイゼン</t>
    </rPh>
    <phoneticPr fontId="1"/>
  </si>
  <si>
    <t>ロックオンの切り替えはできるようになった。</t>
    <rPh sb="6" eb="7">
      <t>キ</t>
    </rPh>
    <rPh sb="8" eb="9">
      <t>カ</t>
    </rPh>
    <phoneticPr fontId="1"/>
  </si>
  <si>
    <t>次は、ロックオンしている敵が死んだとき、自動でターゲットが切り替わる仕組み</t>
    <rPh sb="0" eb="1">
      <t>ツギ</t>
    </rPh>
    <rPh sb="12" eb="13">
      <t>テキ</t>
    </rPh>
    <rPh sb="14" eb="15">
      <t>シ</t>
    </rPh>
    <rPh sb="20" eb="22">
      <t>ジドウ</t>
    </rPh>
    <rPh sb="29" eb="30">
      <t>キ</t>
    </rPh>
    <rPh sb="31" eb="32">
      <t>カ</t>
    </rPh>
    <rPh sb="34" eb="36">
      <t>シク</t>
    </rPh>
    <phoneticPr fontId="1"/>
  </si>
  <si>
    <t>終わったので、ターゲットしている敵に向かって攻撃する仕組みを作る</t>
    <rPh sb="0" eb="1">
      <t>オ</t>
    </rPh>
    <rPh sb="16" eb="17">
      <t>テキ</t>
    </rPh>
    <rPh sb="18" eb="19">
      <t>ム</t>
    </rPh>
    <rPh sb="22" eb="24">
      <t>コウゲキ</t>
    </rPh>
    <rPh sb="26" eb="28">
      <t>シク</t>
    </rPh>
    <rPh sb="30" eb="31">
      <t>ツク</t>
    </rPh>
    <phoneticPr fontId="1"/>
  </si>
  <si>
    <t>ロックオンの時のターゲットもプレイヤーカメラ同様にプレイヤーの高さに応じて、割合を決めて変えるようにする</t>
    <rPh sb="6" eb="7">
      <t>トキ</t>
    </rPh>
    <rPh sb="22" eb="24">
      <t>ドウヨウ</t>
    </rPh>
    <rPh sb="31" eb="32">
      <t>タカ</t>
    </rPh>
    <rPh sb="34" eb="35">
      <t>オウ</t>
    </rPh>
    <rPh sb="38" eb="40">
      <t>ワリアイ</t>
    </rPh>
    <rPh sb="41" eb="42">
      <t>キ</t>
    </rPh>
    <rPh sb="44" eb="45">
      <t>カ</t>
    </rPh>
    <phoneticPr fontId="1"/>
  </si>
  <si>
    <t>ロックオンしていないとき、の内部的なターゲットについて</t>
    <rPh sb="14" eb="17">
      <t>ナイブテキ</t>
    </rPh>
    <phoneticPr fontId="1"/>
  </si>
  <si>
    <t>内部ロックオンの基盤は完成→現在は、攻撃したら内部ロックオンの設定を完了</t>
    <rPh sb="0" eb="2">
      <t>ナイブ</t>
    </rPh>
    <rPh sb="8" eb="10">
      <t>キバン</t>
    </rPh>
    <rPh sb="11" eb="13">
      <t>カンセイ</t>
    </rPh>
    <rPh sb="14" eb="16">
      <t>ゲンザイ</t>
    </rPh>
    <rPh sb="18" eb="20">
      <t>コウゲキ</t>
    </rPh>
    <rPh sb="23" eb="25">
      <t>ナイブ</t>
    </rPh>
    <rPh sb="31" eb="33">
      <t>セッテイ</t>
    </rPh>
    <rPh sb="34" eb="36">
      <t>カンリョウ</t>
    </rPh>
    <phoneticPr fontId="1"/>
  </si>
  <si>
    <t>次は、攻撃の時に入力があったら、その方向に敵がいたら内部ターゲットを切り替える、いなかったらそのまま</t>
    <rPh sb="0" eb="1">
      <t>ツギ</t>
    </rPh>
    <rPh sb="3" eb="5">
      <t>コウゲキ</t>
    </rPh>
    <rPh sb="6" eb="7">
      <t>トキ</t>
    </rPh>
    <rPh sb="8" eb="10">
      <t>ニュウリョク</t>
    </rPh>
    <rPh sb="18" eb="20">
      <t>ホウコウ</t>
    </rPh>
    <rPh sb="21" eb="22">
      <t>テキ</t>
    </rPh>
    <rPh sb="26" eb="28">
      <t>ナイブ</t>
    </rPh>
    <rPh sb="34" eb="35">
      <t>キ</t>
    </rPh>
    <rPh sb="36" eb="37">
      <t>カ</t>
    </rPh>
    <phoneticPr fontId="1"/>
  </si>
  <si>
    <t>また、内部ターゲットがいなかったらその敵を探す仕組みがあってもいい</t>
    <rPh sb="3" eb="5">
      <t>ナイブ</t>
    </rPh>
    <rPh sb="19" eb="20">
      <t>テキ</t>
    </rPh>
    <rPh sb="21" eb="22">
      <t>サガ</t>
    </rPh>
    <rPh sb="23" eb="25">
      <t>シク</t>
    </rPh>
    <phoneticPr fontId="1"/>
  </si>
  <si>
    <t>攻撃が当たったタイミングで新しいカメラ(攻撃中にカッコいい角度のするカメラ)に切り替えて、右スティックの入力があったら、PlayerCameraに戻すs</t>
    <rPh sb="0" eb="2">
      <t>コウゲキ</t>
    </rPh>
    <rPh sb="3" eb="4">
      <t>ア</t>
    </rPh>
    <rPh sb="13" eb="14">
      <t>アタラ</t>
    </rPh>
    <rPh sb="20" eb="23">
      <t>コウゲキチュウ</t>
    </rPh>
    <rPh sb="29" eb="31">
      <t>カクド</t>
    </rPh>
    <rPh sb="39" eb="40">
      <t>キ</t>
    </rPh>
    <rPh sb="41" eb="42">
      <t>カ</t>
    </rPh>
    <rPh sb="45" eb="46">
      <t>ミギ</t>
    </rPh>
    <rPh sb="52" eb="54">
      <t>ニュウリョク</t>
    </rPh>
    <rPh sb="73" eb="74">
      <t>モド</t>
    </rPh>
    <phoneticPr fontId="1"/>
  </si>
  <si>
    <t>PlayerStateAttackでgamesceneの関数を呼び出す-&gt;入力方向に敵がいたら内部ターゲットをきりかえる</t>
    <rPh sb="28" eb="30">
      <t>カンスウ</t>
    </rPh>
    <rPh sb="31" eb="32">
      <t>ヨ</t>
    </rPh>
    <rPh sb="33" eb="34">
      <t>ダ</t>
    </rPh>
    <rPh sb="37" eb="41">
      <t>ニュウリョクホウコウ</t>
    </rPh>
    <rPh sb="42" eb="43">
      <t>テキ</t>
    </rPh>
    <rPh sb="47" eb="49">
      <t>ナイブ</t>
    </rPh>
    <phoneticPr fontId="1"/>
  </si>
  <si>
    <t>内部ロックオンの仕組み終わった！すべて終わったと思う</t>
    <rPh sb="0" eb="2">
      <t>ナイブ</t>
    </rPh>
    <rPh sb="8" eb="10">
      <t>シク</t>
    </rPh>
    <rPh sb="11" eb="12">
      <t>オ</t>
    </rPh>
    <rPh sb="19" eb="20">
      <t>オ</t>
    </rPh>
    <rPh sb="24" eb="25">
      <t>オモ</t>
    </rPh>
    <phoneticPr fontId="1"/>
  </si>
  <si>
    <t>後は、内部ロックオンした時にカッコいいカメラに行くように自然とカメラの位置を変える（攻撃が当たったタイミングで）</t>
    <rPh sb="0" eb="1">
      <t>アト</t>
    </rPh>
    <rPh sb="3" eb="5">
      <t>ナイブ</t>
    </rPh>
    <rPh sb="12" eb="13">
      <t>トキ</t>
    </rPh>
    <rPh sb="23" eb="24">
      <t>イ</t>
    </rPh>
    <rPh sb="28" eb="30">
      <t>シゼン</t>
    </rPh>
    <rPh sb="35" eb="37">
      <t>イチ</t>
    </rPh>
    <rPh sb="38" eb="39">
      <t>カ</t>
    </rPh>
    <rPh sb="42" eb="44">
      <t>コウゲキ</t>
    </rPh>
    <rPh sb="45" eb="46">
      <t>ア</t>
    </rPh>
    <phoneticPr fontId="1"/>
  </si>
  <si>
    <t>自然と変えるやつは、その左右の切り替えが変だからよくわからない</t>
    <rPh sb="0" eb="2">
      <t>シゼン</t>
    </rPh>
    <rPh sb="3" eb="4">
      <t>カ</t>
    </rPh>
    <rPh sb="12" eb="14">
      <t>サユウ</t>
    </rPh>
    <rPh sb="15" eb="16">
      <t>キ</t>
    </rPh>
    <rPh sb="17" eb="18">
      <t>カ</t>
    </rPh>
    <rPh sb="20" eb="21">
      <t>ヘン</t>
    </rPh>
    <phoneticPr fontId="1"/>
  </si>
  <si>
    <t>今から、ロックオンした時のカメラの注視点の位置を割合にする</t>
    <rPh sb="0" eb="1">
      <t>イマ</t>
    </rPh>
    <rPh sb="11" eb="12">
      <t>トキ</t>
    </rPh>
    <rPh sb="17" eb="20">
      <t>チュウシテン</t>
    </rPh>
    <rPh sb="21" eb="23">
      <t>イチ</t>
    </rPh>
    <rPh sb="24" eb="26">
      <t>ワリアイ</t>
    </rPh>
    <phoneticPr fontId="1"/>
  </si>
  <si>
    <t>なんかあんまりうまくいかなかった、もっと研究が必要(血殺の時の角度について)</t>
    <rPh sb="20" eb="22">
      <t>ケンキュウ</t>
    </rPh>
    <rPh sb="23" eb="25">
      <t>ヒツヨウ</t>
    </rPh>
    <rPh sb="26" eb="27">
      <t>チ</t>
    </rPh>
    <rPh sb="27" eb="28">
      <t>サツ</t>
    </rPh>
    <rPh sb="29" eb="30">
      <t>トキ</t>
    </rPh>
    <rPh sb="31" eb="33">
      <t>カクド</t>
    </rPh>
    <phoneticPr fontId="1"/>
  </si>
  <si>
    <t>これで基本的にやりたいことは終わった</t>
    <rPh sb="3" eb="6">
      <t>キホンテキ</t>
    </rPh>
    <rPh sb="14" eb="15">
      <t>オ</t>
    </rPh>
    <phoneticPr fontId="1"/>
  </si>
  <si>
    <t>次は、カプセルコライダーとかボックスコライダーを足す</t>
    <rPh sb="0" eb="1">
      <t>ツギ</t>
    </rPh>
    <rPh sb="24" eb="25">
      <t>タ</t>
    </rPh>
    <phoneticPr fontId="1"/>
  </si>
  <si>
    <t>orモデル切り替えや、例キャストで地面との当たり判定を常にとるなど</t>
    <rPh sb="5" eb="6">
      <t>キ</t>
    </rPh>
    <rPh sb="7" eb="8">
      <t>カ</t>
    </rPh>
    <rPh sb="11" eb="12">
      <t>レイ</t>
    </rPh>
    <rPh sb="17" eb="19">
      <t>ジメン</t>
    </rPh>
    <rPh sb="21" eb="22">
      <t>ア</t>
    </rPh>
    <rPh sb="24" eb="26">
      <t>ハンテイ</t>
    </rPh>
    <rPh sb="27" eb="28">
      <t>ツネ</t>
    </rPh>
    <phoneticPr fontId="1"/>
  </si>
  <si>
    <t>敵の吹っ飛んだ後、ダウン状態にするようにした</t>
    <rPh sb="0" eb="1">
      <t>テキ</t>
    </rPh>
    <rPh sb="2" eb="3">
      <t>フ</t>
    </rPh>
    <rPh sb="4" eb="5">
      <t>ト</t>
    </rPh>
    <rPh sb="7" eb="8">
      <t>アト</t>
    </rPh>
    <rPh sb="12" eb="14">
      <t>ジョウタイ</t>
    </rPh>
    <phoneticPr fontId="1"/>
  </si>
  <si>
    <t>次は、カプセルコライダーorレイキャストで地面との当たり判定をとる、血殺のシェーダーのどれか</t>
    <rPh sb="0" eb="1">
      <t>ツギ</t>
    </rPh>
    <rPh sb="21" eb="23">
      <t>ジメン</t>
    </rPh>
    <rPh sb="25" eb="26">
      <t>ア</t>
    </rPh>
    <rPh sb="28" eb="30">
      <t>ハンテイ</t>
    </rPh>
    <rPh sb="34" eb="35">
      <t>チ</t>
    </rPh>
    <rPh sb="35" eb="36">
      <t>サツ</t>
    </rPh>
    <phoneticPr fontId="1"/>
  </si>
  <si>
    <t>レイキャストかな</t>
    <phoneticPr fontId="1"/>
  </si>
  <si>
    <t>そのあとシェーダー</t>
    <phoneticPr fontId="1"/>
  </si>
  <si>
    <t>レイキャスト終了、カプセルコライダーのdxLibのほうは慣れたからそれやってもいい</t>
    <rPh sb="6" eb="8">
      <t>シュウリョウ</t>
    </rPh>
    <rPh sb="28" eb="29">
      <t>ナ</t>
    </rPh>
    <phoneticPr fontId="1"/>
  </si>
  <si>
    <t>もしくは、シェーダー</t>
    <phoneticPr fontId="1"/>
  </si>
  <si>
    <t>まずはステージ制作のリメイクをする</t>
    <rPh sb="7" eb="9">
      <t>セイサク</t>
    </rPh>
    <phoneticPr fontId="1"/>
  </si>
  <si>
    <t>階段（段差）や、斜めの床、高台を追加した。なぜか、カメラ周りの処理や、壁付近でジャンプした時どうなっているのかがわからない</t>
    <rPh sb="0" eb="2">
      <t>カイダン</t>
    </rPh>
    <rPh sb="3" eb="5">
      <t>ダンサ</t>
    </rPh>
    <rPh sb="8" eb="9">
      <t>ナナ</t>
    </rPh>
    <rPh sb="11" eb="12">
      <t>ユカ</t>
    </rPh>
    <rPh sb="13" eb="15">
      <t>タカダイ</t>
    </rPh>
    <rPh sb="16" eb="18">
      <t>ツイカ</t>
    </rPh>
    <rPh sb="28" eb="29">
      <t>マワ</t>
    </rPh>
    <rPh sb="31" eb="33">
      <t>ショリ</t>
    </rPh>
    <rPh sb="35" eb="38">
      <t>カベフキン</t>
    </rPh>
    <rPh sb="45" eb="46">
      <t>トキ</t>
    </rPh>
    <phoneticPr fontId="1"/>
  </si>
  <si>
    <t>その辺をする、一旦聞いて、無理そうだったらシェーダーとかをする</t>
    <rPh sb="2" eb="3">
      <t>ヘン</t>
    </rPh>
    <rPh sb="7" eb="10">
      <t>イッタンキ</t>
    </rPh>
    <rPh sb="13" eb="15">
      <t>ムリ</t>
    </rPh>
    <phoneticPr fontId="1"/>
  </si>
  <si>
    <t>プレイヤーのモデル切り替えの仕組みと、ポリゴンとの当たり判定を同時進行で進めている</t>
    <rPh sb="9" eb="10">
      <t>キ</t>
    </rPh>
    <rPh sb="11" eb="12">
      <t>カ</t>
    </rPh>
    <rPh sb="14" eb="16">
      <t>シク</t>
    </rPh>
    <rPh sb="25" eb="26">
      <t>ア</t>
    </rPh>
    <rPh sb="28" eb="30">
      <t>ハンテイ</t>
    </rPh>
    <rPh sb="31" eb="35">
      <t>ドウジシンコウ</t>
    </rPh>
    <rPh sb="36" eb="37">
      <t>スス</t>
    </rPh>
    <phoneticPr fontId="1"/>
  </si>
  <si>
    <t>先にk2用にアルファを進めることにした</t>
    <rPh sb="0" eb="1">
      <t>サキ</t>
    </rPh>
    <rPh sb="4" eb="5">
      <t>ヨウ</t>
    </rPh>
    <rPh sb="11" eb="12">
      <t>スス</t>
    </rPh>
    <phoneticPr fontId="1"/>
  </si>
  <si>
    <t>そのあと、↑のプレイヤーのモデル切り替えの仕組みとポリゴンとの当たり判定をしようかなと思っている</t>
    <rPh sb="16" eb="17">
      <t>キ</t>
    </rPh>
    <rPh sb="18" eb="19">
      <t>カ</t>
    </rPh>
    <rPh sb="21" eb="23">
      <t>シク</t>
    </rPh>
    <rPh sb="31" eb="32">
      <t>ア</t>
    </rPh>
    <rPh sb="34" eb="36">
      <t>ハンテイ</t>
    </rPh>
    <rPh sb="43" eb="44">
      <t>オモ</t>
    </rPh>
    <phoneticPr fontId="1"/>
  </si>
  <si>
    <t>アルファの次にすること</t>
    <rPh sb="5" eb="6">
      <t>ツギ</t>
    </rPh>
    <phoneticPr fontId="1"/>
  </si>
  <si>
    <t>waveごとにプレイヤーの動ける範囲を制限する</t>
    <rPh sb="13" eb="14">
      <t>ウゴ</t>
    </rPh>
    <rPh sb="16" eb="18">
      <t>ハンイ</t>
    </rPh>
    <rPh sb="19" eb="21">
      <t>セイゲン</t>
    </rPh>
    <phoneticPr fontId="1"/>
  </si>
  <si>
    <t>そのあとは、コンボノードや、操作Uiを追加する</t>
    <rPh sb="14" eb="16">
      <t>ソウサ</t>
    </rPh>
    <rPh sb="19" eb="21">
      <t>ツイカ</t>
    </rPh>
    <phoneticPr fontId="1"/>
  </si>
  <si>
    <t>正直、あんまり思いついていない→先輩に都度きく</t>
    <rPh sb="0" eb="2">
      <t>ショウジキ</t>
    </rPh>
    <rPh sb="7" eb="8">
      <t>オモ</t>
    </rPh>
    <rPh sb="16" eb="18">
      <t>センパイ</t>
    </rPh>
    <rPh sb="19" eb="21">
      <t>ツド</t>
    </rPh>
    <phoneticPr fontId="1"/>
  </si>
  <si>
    <t>24日までの10日間、アルファを進めるという認識でいい</t>
    <rPh sb="2" eb="3">
      <t>ニチ</t>
    </rPh>
    <rPh sb="8" eb="10">
      <t>ニチカン</t>
    </rPh>
    <rPh sb="16" eb="17">
      <t>スス</t>
    </rPh>
    <rPh sb="22" eb="24">
      <t>ニンシキ</t>
    </rPh>
    <phoneticPr fontId="1"/>
  </si>
  <si>
    <t>モデルの分離が意外といけそう</t>
    <rPh sb="4" eb="6">
      <t>ブンリ</t>
    </rPh>
    <rPh sb="7" eb="9">
      <t>イガイ</t>
    </rPh>
    <phoneticPr fontId="1"/>
  </si>
  <si>
    <t>モデルのそこからの子フレームをすべて取得して、</t>
    <rPh sb="9" eb="10">
      <t>コ</t>
    </rPh>
    <rPh sb="18" eb="20">
      <t>シュトク</t>
    </rPh>
    <phoneticPr fontId="1"/>
  </si>
  <si>
    <t>行列でスケールなどをゼロにする</t>
    <rPh sb="0" eb="2">
      <t>ギョウレツ</t>
    </rPh>
    <phoneticPr fontId="1"/>
  </si>
  <si>
    <t>そしたらないように見える</t>
    <rPh sb="9" eb="10">
      <t>ミ</t>
    </rPh>
    <phoneticPr fontId="1"/>
  </si>
  <si>
    <t>そこに、新しくもう1つのモデルを用意して、それを飛ばすことで、分離しているように見せれる</t>
    <rPh sb="4" eb="5">
      <t>アタラ</t>
    </rPh>
    <rPh sb="16" eb="18">
      <t>ヨウイ</t>
    </rPh>
    <rPh sb="24" eb="25">
      <t>ト</t>
    </rPh>
    <rPh sb="31" eb="33">
      <t>ブンリ</t>
    </rPh>
    <rPh sb="40" eb="41">
      <t>ミ</t>
    </rPh>
    <phoneticPr fontId="1"/>
  </si>
  <si>
    <t>モデルの分離方法を川野先生に教わった</t>
    <rPh sb="4" eb="8">
      <t>ブンリホウホウ</t>
    </rPh>
    <rPh sb="9" eb="10">
      <t>カワ</t>
    </rPh>
    <rPh sb="10" eb="11">
      <t>ノ</t>
    </rPh>
    <rPh sb="11" eb="13">
      <t>センセイ</t>
    </rPh>
    <rPh sb="14" eb="15">
      <t>オソ</t>
    </rPh>
    <phoneticPr fontId="1"/>
  </si>
  <si>
    <t>やることステージをちゃんと作る(れお先輩のステージを参考にする)</t>
    <rPh sb="13" eb="14">
      <t>ツク</t>
    </rPh>
    <rPh sb="18" eb="20">
      <t>センパイ</t>
    </rPh>
    <rPh sb="26" eb="28">
      <t>サンコウ</t>
    </rPh>
    <phoneticPr fontId="1"/>
  </si>
  <si>
    <t>playerの移動制限をした後、ヒットストップ、カメラシェイクを作る</t>
    <rPh sb="7" eb="11">
      <t>イドウセイゲン</t>
    </rPh>
    <rPh sb="14" eb="15">
      <t>アト</t>
    </rPh>
    <rPh sb="32" eb="33">
      <t>ツク</t>
    </rPh>
    <phoneticPr fontId="1"/>
  </si>
  <si>
    <t>そのあと、しっかりとしたステージを作る</t>
    <rPh sb="17" eb="18">
      <t>ツク</t>
    </rPh>
    <phoneticPr fontId="1"/>
  </si>
  <si>
    <t>移動制限、あとは数値をいじるだけ、次はヒットストップとカメラシェイクをする</t>
    <rPh sb="0" eb="4">
      <t>イドウセイゲン</t>
    </rPh>
    <rPh sb="8" eb="10">
      <t>スウチ</t>
    </rPh>
    <rPh sb="17" eb="18">
      <t>ツギ</t>
    </rPh>
    <phoneticPr fontId="1"/>
  </si>
  <si>
    <t>移動制限終了、アニメーション、ヒットストップ、カメラシェイクに入る</t>
    <rPh sb="0" eb="4">
      <t>イドウセイゲン</t>
    </rPh>
    <rPh sb="4" eb="6">
      <t>シュウリョウ</t>
    </rPh>
    <rPh sb="31" eb="32">
      <t>ハイ</t>
    </rPh>
    <phoneticPr fontId="1"/>
  </si>
  <si>
    <t>モーションによるモデルの切り替えいい感じ</t>
    <rPh sb="12" eb="13">
      <t>キ</t>
    </rPh>
    <rPh sb="14" eb="15">
      <t>カ</t>
    </rPh>
    <rPh sb="18" eb="19">
      <t>カン</t>
    </rPh>
    <phoneticPr fontId="1"/>
  </si>
  <si>
    <t>続いて、ヒットストップをする</t>
    <rPh sb="0" eb="1">
      <t>ツヅ</t>
    </rPh>
    <phoneticPr fontId="1"/>
  </si>
  <si>
    <t>orエフェクトを作るorシェーダー、ステージ制作</t>
    <rPh sb="8" eb="9">
      <t>ツク</t>
    </rPh>
    <rPh sb="22" eb="24">
      <t>セイサク</t>
    </rPh>
    <phoneticPr fontId="1"/>
  </si>
  <si>
    <t>ヒットストップ→あとはアニメーションクラスに所有者のタイムスケールを持ってきて、かけてあげる</t>
    <rPh sb="22" eb="25">
      <t>ショユウシャ</t>
    </rPh>
    <rPh sb="34" eb="35">
      <t>モ</t>
    </rPh>
    <phoneticPr fontId="1"/>
  </si>
  <si>
    <t>ColUpdateで初期化してる</t>
    <rPh sb="10" eb="13">
      <t>ショキカ</t>
    </rPh>
    <phoneticPr fontId="1"/>
  </si>
  <si>
    <t>エフェクトがなんかあまりうまく表示されないが、一旦これでいく</t>
    <rPh sb="15" eb="17">
      <t>ヒョウジ</t>
    </rPh>
    <rPh sb="23" eb="25">
      <t>イッタン</t>
    </rPh>
    <phoneticPr fontId="1"/>
  </si>
  <si>
    <t>川野先生に解決してもらう</t>
    <rPh sb="0" eb="4">
      <t>カワノセンセイ</t>
    </rPh>
    <rPh sb="5" eb="7">
      <t>カイケツ</t>
    </rPh>
    <phoneticPr fontId="1"/>
  </si>
  <si>
    <t>ステージの制作をする</t>
    <rPh sb="5" eb="7">
      <t>セイサク</t>
    </rPh>
    <phoneticPr fontId="1"/>
  </si>
  <si>
    <t>一旦見た目を作ったので、大きさの確認をする</t>
    <rPh sb="0" eb="2">
      <t>イッタン</t>
    </rPh>
    <rPh sb="2" eb="3">
      <t>ミ</t>
    </rPh>
    <rPh sb="4" eb="5">
      <t>メ</t>
    </rPh>
    <rPh sb="6" eb="7">
      <t>ツク</t>
    </rPh>
    <rPh sb="12" eb="13">
      <t>オオ</t>
    </rPh>
    <rPh sb="16" eb="18">
      <t>カクニン</t>
    </rPh>
    <phoneticPr fontId="1"/>
  </si>
  <si>
    <t>大きさの確認終了</t>
    <rPh sb="0" eb="1">
      <t>オオ</t>
    </rPh>
    <rPh sb="4" eb="8">
      <t>カクニンシュウリョウ</t>
    </rPh>
    <phoneticPr fontId="1"/>
  </si>
  <si>
    <t>見た目の整理終わり</t>
    <rPh sb="0" eb="1">
      <t>ミ</t>
    </rPh>
    <rPh sb="2" eb="3">
      <t>メ</t>
    </rPh>
    <rPh sb="4" eb="6">
      <t>セイリ</t>
    </rPh>
    <rPh sb="6" eb="7">
      <t>オ</t>
    </rPh>
    <phoneticPr fontId="1"/>
  </si>
  <si>
    <t>元の作業に戻る</t>
    <rPh sb="0" eb="1">
      <t>モト</t>
    </rPh>
    <rPh sb="2" eb="4">
      <t>サギョウ</t>
    </rPh>
    <rPh sb="5" eb="6">
      <t>モド</t>
    </rPh>
    <phoneticPr fontId="1"/>
  </si>
  <si>
    <t>次はカメラシェイク、orrカメラが変なので、修正</t>
    <rPh sb="0" eb="1">
      <t>ツギ</t>
    </rPh>
    <rPh sb="17" eb="18">
      <t>ヘン</t>
    </rPh>
    <rPh sb="22" eb="24">
      <t>シュウセイ</t>
    </rPh>
    <phoneticPr fontId="1"/>
  </si>
  <si>
    <t>orシェーダー</t>
    <phoneticPr fontId="1"/>
  </si>
  <si>
    <t>タイトルシーンのあん</t>
    <phoneticPr fontId="1"/>
  </si>
  <si>
    <t>タイトルがまずぱっと出てきて、プレイヤーがけって、正しい位置にずらして剣をとりだす</t>
    <phoneticPr fontId="1"/>
  </si>
  <si>
    <t>リザルトシーン</t>
    <phoneticPr fontId="1"/>
  </si>
  <si>
    <t>スコア型</t>
    <rPh sb="3" eb="4">
      <t>ガタ</t>
    </rPh>
    <phoneticPr fontId="1"/>
  </si>
  <si>
    <t>aって出てきた後、剣で切ってSをだす</t>
    <rPh sb="3" eb="4">
      <t>デ</t>
    </rPh>
    <rPh sb="7" eb="8">
      <t>アト</t>
    </rPh>
    <rPh sb="9" eb="10">
      <t>ケン</t>
    </rPh>
    <rPh sb="11" eb="12">
      <t>キ</t>
    </rPh>
    <phoneticPr fontId="1"/>
  </si>
  <si>
    <t>その際、ブレンダーで作ったモデルでばらばらにする表現をする</t>
    <rPh sb="2" eb="3">
      <t>サイ</t>
    </rPh>
    <rPh sb="10" eb="11">
      <t>ツク</t>
    </rPh>
    <rPh sb="24" eb="26">
      <t>ヒョウゲン</t>
    </rPh>
    <phoneticPr fontId="1"/>
  </si>
  <si>
    <t>非同期ロードをする</t>
    <rPh sb="0" eb="3">
      <t>ヒドウキ</t>
    </rPh>
    <phoneticPr fontId="1"/>
  </si>
  <si>
    <t>そのあと、タイトルシーンなどを作り始める</t>
    <rPh sb="15" eb="16">
      <t>ツク</t>
    </rPh>
    <rPh sb="17" eb="18">
      <t>ハジ</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</si>
</sst>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8">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
      <sz val="11"/>
      <color theme="0"/>
      <name val="Yu Gothic"/>
      <family val="2"/>
      <scheme val="minor"/>
    </font>
  </fonts>
  <fills count="2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rgb="FF002060"/>
        <bgColor indexed="64"/>
      </patternFill>
    </fill>
    <fill>
      <patternFill patternType="solid">
        <fgColor theme="0" tint="-0.249977111117893"/>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5">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14" fontId="0" fillId="10" borderId="2" xfId="0" applyNumberFormat="1" applyFill="1" applyBorder="1"/>
    <xf numFmtId="56" fontId="0" fillId="10" borderId="2" xfId="0" applyNumberFormat="1" applyFill="1" applyBorder="1"/>
    <xf numFmtId="0" fontId="7" fillId="27" borderId="2" xfId="0" applyFont="1" applyFill="1" applyBorder="1"/>
    <xf numFmtId="0" fontId="0" fillId="27" borderId="0" xfId="0" applyFill="1"/>
    <xf numFmtId="0" fontId="0" fillId="28" borderId="0" xfId="0" applyFill="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topLeftCell="A10" workbookViewId="0">
      <selection activeCell="C24" sqref="C24"/>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SUM(作業工数見積もり!E3:E76)</f>
        <v>187</v>
      </c>
    </row>
    <row r="4" spans="2:5">
      <c r="B4" s="5" t="s">
        <v>6</v>
      </c>
      <c r="C4">
        <f>SUMIF(作業工数見積もり!G3:G23,"完了",作業工数見積もり!E3:E23)</f>
        <v>25</v>
      </c>
      <c r="D4" t="s">
        <v>7</v>
      </c>
    </row>
    <row r="5" spans="2:5">
      <c r="B5" s="6" t="s">
        <v>8</v>
      </c>
      <c r="C5" s="2">
        <f ca="1">NETWORKDAYS(C6,C7)</f>
        <v>442</v>
      </c>
      <c r="D5" s="3">
        <f ca="1" xml:space="preserve"> C4 / C5</f>
        <v>5.6561085972850679E-2</v>
      </c>
    </row>
    <row r="6" spans="2:5">
      <c r="B6" s="7" t="s">
        <v>9</v>
      </c>
      <c r="C6" s="1">
        <f>DATE(2024,11,7)</f>
        <v>45603</v>
      </c>
    </row>
    <row r="7" spans="2:5">
      <c r="B7" s="8" t="s">
        <v>11</v>
      </c>
      <c r="C7" s="1">
        <f ca="1">TODAY()</f>
        <v>46222</v>
      </c>
    </row>
    <row r="9" spans="2:5">
      <c r="D9" t="s">
        <v>12</v>
      </c>
      <c r="E9" t="s">
        <v>13</v>
      </c>
    </row>
    <row r="10" spans="2:5">
      <c r="B10" s="4" t="s">
        <v>15</v>
      </c>
      <c r="C10" s="1">
        <f>DATE(2024,12,20)</f>
        <v>45646</v>
      </c>
      <c r="D10" s="2">
        <f ca="1">NETWORKDAYS(TODAY(),C10)</f>
        <v>-411</v>
      </c>
      <c r="E10" s="3">
        <f ca="1">($C$3 - $C$4) / D10</f>
        <v>-0.39416058394160586</v>
      </c>
    </row>
    <row r="11" spans="2:5">
      <c r="B11" s="9" t="s">
        <v>16</v>
      </c>
      <c r="C11" s="1">
        <f>DATE(2025,1,17)</f>
        <v>45674</v>
      </c>
      <c r="D11" s="2">
        <f ca="1">NETWORKDAYS(TODAY(),C11)</f>
        <v>-391</v>
      </c>
      <c r="E11" s="3">
        <f ca="1">($C$3 - $C$4) / D11</f>
        <v>-0.41432225063938621</v>
      </c>
    </row>
    <row r="12" spans="2:5">
      <c r="B12" s="6" t="s">
        <v>17</v>
      </c>
      <c r="C12" s="1">
        <f>DATE(2025,2,3)</f>
        <v>45691</v>
      </c>
      <c r="D12" s="2">
        <f ca="1">NETWORKDAYS(TODAY(),C12)</f>
        <v>-380</v>
      </c>
      <c r="E12" s="3">
        <f ca="1">($C$3 - $C$4) / D12</f>
        <v>-0.4263157894736842</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7"/>
  <sheetViews>
    <sheetView zoomScale="85" zoomScaleNormal="85" workbookViewId="0">
      <selection activeCell="G42" sqref="G42"/>
    </sheetView>
  </sheetViews>
  <sheetFormatPr defaultRowHeight="18.75" outlineLevelRow="1"/>
  <cols>
    <col min="1" max="1" width="17.125" style="10" bestFit="1" customWidth="1"/>
    <col min="2" max="2" width="45.875" style="10" bestFit="1" customWidth="1"/>
    <col min="3" max="3" width="11.75" style="16" bestFit="1" customWidth="1"/>
    <col min="4" max="4" width="15.25" style="16" bestFit="1" customWidth="1"/>
    <col min="5" max="6" width="13.5" style="16" bestFit="1" customWidth="1"/>
    <col min="7" max="7" width="15.25" style="16" bestFit="1" customWidth="1"/>
    <col min="8" max="8" width="9" style="10"/>
    <col min="9" max="9" width="17.125" style="10" bestFit="1" customWidth="1"/>
    <col min="10" max="11" width="11" style="10" bestFit="1" customWidth="1"/>
    <col min="12" max="12" width="9" style="10" bestFit="1" customWidth="1"/>
    <col min="13" max="13" width="9" style="10"/>
    <col min="14" max="14" width="18.37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ht="39.75" customHeight="1">
      <c r="A3" s="17" t="s">
        <v>35</v>
      </c>
      <c r="B3" s="10" t="s">
        <v>47</v>
      </c>
      <c r="C3" s="16" t="s">
        <v>5</v>
      </c>
      <c r="D3" s="16" t="s">
        <v>18</v>
      </c>
      <c r="E3" s="16">
        <v>0</v>
      </c>
      <c r="G3" s="16" t="s">
        <v>39</v>
      </c>
      <c r="I3" s="25" t="s">
        <v>61</v>
      </c>
      <c r="J3" s="10">
        <f>SUM(J4,J5,J6)</f>
        <v>187</v>
      </c>
      <c r="K3" s="10">
        <f>SUMIFS(E3:E55,G3:G55,"未着手")</f>
        <v>109</v>
      </c>
      <c r="L3" s="10">
        <f>SUM(F3:F43)</f>
        <v>45</v>
      </c>
      <c r="M3" s="10">
        <f ca="1">INT(J11 - TODAY())</f>
        <v>43</v>
      </c>
      <c r="N3" s="10">
        <f ca="1">K3/M3</f>
        <v>2.5348837209302326</v>
      </c>
    </row>
    <row r="4" spans="1:14" ht="26.25" customHeight="1">
      <c r="A4" s="17" t="s">
        <v>35</v>
      </c>
      <c r="B4" s="10" t="s">
        <v>48</v>
      </c>
      <c r="C4" s="16" t="s">
        <v>14</v>
      </c>
      <c r="D4" s="16" t="s">
        <v>10</v>
      </c>
      <c r="E4" s="16">
        <v>0</v>
      </c>
      <c r="G4" s="16" t="s">
        <v>39</v>
      </c>
      <c r="I4" s="26" t="s">
        <v>28</v>
      </c>
      <c r="J4" s="29">
        <f>SUMIF(D3:D55,I4,E3:E55)</f>
        <v>94</v>
      </c>
      <c r="K4" s="10">
        <f>SUMIFS(E3:E55,G3:G55,"未着手",D3:D55,I4)</f>
        <v>35</v>
      </c>
      <c r="L4" s="10">
        <f>SUMIFS(F3:F43,D3:D43,I4)</f>
        <v>45</v>
      </c>
      <c r="M4" s="10">
        <f ca="1">INT(J12-TODAY())</f>
        <v>-2</v>
      </c>
      <c r="N4" s="10">
        <f ca="1">J4/M4</f>
        <v>-47</v>
      </c>
    </row>
    <row r="5" spans="1:14" ht="16.5" customHeight="1">
      <c r="A5" s="17" t="s">
        <v>35</v>
      </c>
      <c r="B5" s="10" t="s">
        <v>49</v>
      </c>
      <c r="C5" s="16" t="s">
        <v>14</v>
      </c>
      <c r="D5" s="16" t="s">
        <v>10</v>
      </c>
      <c r="E5" s="16">
        <v>0</v>
      </c>
      <c r="G5" s="16" t="s">
        <v>39</v>
      </c>
      <c r="I5" s="27" t="s">
        <v>0</v>
      </c>
      <c r="J5" s="29">
        <f>SUMIF(D3:D55,I5,E3:E55)</f>
        <v>77</v>
      </c>
      <c r="K5" s="10">
        <f>SUMIFS(E3:E55,G3:G55,"未着手",D3:D55,I5)</f>
        <v>59</v>
      </c>
      <c r="L5" s="10">
        <f>SUMIFS(F4:F47,D4:D47,I5)</f>
        <v>0</v>
      </c>
      <c r="M5" s="10">
        <f t="shared" ref="M5:M6" ca="1" si="0">INT(J13-TODAY())</f>
        <v>22</v>
      </c>
      <c r="N5" s="10">
        <f t="shared" ref="N5:N6" ca="1" si="1">J5/M5</f>
        <v>3.5</v>
      </c>
    </row>
    <row r="6" spans="1:14" ht="19.5" customHeight="1">
      <c r="A6" s="17" t="s">
        <v>35</v>
      </c>
      <c r="B6" s="10" t="s">
        <v>36</v>
      </c>
      <c r="C6" s="16" t="s">
        <v>14</v>
      </c>
      <c r="D6" s="16" t="s">
        <v>10</v>
      </c>
      <c r="E6" s="16">
        <v>0</v>
      </c>
      <c r="G6" s="16" t="s">
        <v>39</v>
      </c>
      <c r="I6" s="28" t="s">
        <v>29</v>
      </c>
      <c r="J6" s="29">
        <f>SUMIF(D3:D55,I6,E3:E55)</f>
        <v>16</v>
      </c>
      <c r="K6" s="10">
        <f>SUMIFS(E3:E55,G3:G55,"未着手",D3:D55,I6)</f>
        <v>15</v>
      </c>
      <c r="L6" s="10">
        <f>SUMIFS(F5:F47,D5:D47,I6)</f>
        <v>1</v>
      </c>
      <c r="M6" s="10">
        <f t="shared" ca="1" si="0"/>
        <v>39</v>
      </c>
      <c r="N6" s="10">
        <f t="shared" ca="1" si="1"/>
        <v>0.41025641025641024</v>
      </c>
    </row>
    <row r="7" spans="1:14">
      <c r="A7" s="18" t="s">
        <v>37</v>
      </c>
      <c r="B7" s="10" t="s">
        <v>70</v>
      </c>
      <c r="C7" s="16" t="s">
        <v>5</v>
      </c>
      <c r="D7" s="16" t="s">
        <v>18</v>
      </c>
      <c r="E7" s="16">
        <v>3</v>
      </c>
      <c r="G7" s="16" t="s">
        <v>306</v>
      </c>
    </row>
    <row r="8" spans="1:14" outlineLevel="1">
      <c r="A8" s="19" t="s">
        <v>44</v>
      </c>
      <c r="B8" s="10" t="s">
        <v>250</v>
      </c>
      <c r="C8" s="16" t="s">
        <v>5</v>
      </c>
      <c r="D8" s="16" t="s">
        <v>10</v>
      </c>
      <c r="E8" s="16">
        <v>6</v>
      </c>
      <c r="G8" s="16" t="s">
        <v>306</v>
      </c>
    </row>
    <row r="9" spans="1:14" hidden="1" outlineLevel="1">
      <c r="A9" s="19" t="s">
        <v>44</v>
      </c>
      <c r="B9" s="10" t="s">
        <v>251</v>
      </c>
      <c r="C9" s="16" t="s">
        <v>5</v>
      </c>
      <c r="D9" s="16" t="s">
        <v>18</v>
      </c>
      <c r="E9" s="16">
        <v>2</v>
      </c>
      <c r="F9" s="16">
        <v>2</v>
      </c>
      <c r="G9" s="16" t="s">
        <v>57</v>
      </c>
    </row>
    <row r="10" spans="1:14"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G11" s="16" t="s">
        <v>39</v>
      </c>
      <c r="I11" s="10" t="s">
        <v>295</v>
      </c>
      <c r="J11" s="50">
        <v>46265</v>
      </c>
    </row>
    <row r="12" spans="1:14" hidden="1">
      <c r="A12" s="19" t="s">
        <v>44</v>
      </c>
      <c r="B12" s="10" t="s">
        <v>254</v>
      </c>
      <c r="C12" s="16" t="s">
        <v>257</v>
      </c>
      <c r="D12" s="16" t="s">
        <v>18</v>
      </c>
      <c r="E12" s="16">
        <v>12</v>
      </c>
      <c r="F12" s="16">
        <v>4</v>
      </c>
      <c r="G12" s="16" t="s">
        <v>57</v>
      </c>
      <c r="I12" s="10" t="s">
        <v>296</v>
      </c>
      <c r="J12" s="51">
        <v>46220</v>
      </c>
    </row>
    <row r="13" spans="1:14" hidden="1">
      <c r="A13" s="19" t="s">
        <v>44</v>
      </c>
      <c r="B13" s="10" t="s">
        <v>255</v>
      </c>
      <c r="C13" s="16" t="s">
        <v>5</v>
      </c>
      <c r="D13" s="16" t="s">
        <v>18</v>
      </c>
      <c r="E13" s="16">
        <v>1</v>
      </c>
      <c r="F13" s="16">
        <v>1</v>
      </c>
      <c r="G13" s="16" t="s">
        <v>57</v>
      </c>
      <c r="I13" s="10" t="s">
        <v>297</v>
      </c>
      <c r="J13" s="51">
        <v>46244</v>
      </c>
    </row>
    <row r="14" spans="1:14" hidden="1">
      <c r="A14" s="19" t="s">
        <v>44</v>
      </c>
      <c r="B14" s="10" t="s">
        <v>258</v>
      </c>
      <c r="C14" s="16" t="s">
        <v>5</v>
      </c>
      <c r="D14" s="16" t="s">
        <v>18</v>
      </c>
      <c r="E14" s="16">
        <v>2</v>
      </c>
      <c r="G14" s="16" t="s">
        <v>57</v>
      </c>
      <c r="I14" s="10" t="s">
        <v>298</v>
      </c>
      <c r="J14" s="51">
        <v>46261</v>
      </c>
    </row>
    <row r="15" spans="1:14" hidden="1">
      <c r="A15" s="19" t="s">
        <v>44</v>
      </c>
      <c r="B15" s="10" t="s">
        <v>259</v>
      </c>
      <c r="C15" s="16" t="s">
        <v>5</v>
      </c>
      <c r="D15" s="16" t="s">
        <v>18</v>
      </c>
      <c r="E15" s="16">
        <v>2</v>
      </c>
      <c r="F15" s="16">
        <v>2</v>
      </c>
      <c r="G15" s="16" t="s">
        <v>57</v>
      </c>
    </row>
    <row r="16" spans="1:14">
      <c r="A16" s="19" t="s">
        <v>44</v>
      </c>
      <c r="B16" s="10" t="s">
        <v>256</v>
      </c>
      <c r="C16" s="16" t="s">
        <v>14</v>
      </c>
      <c r="D16" s="16" t="s">
        <v>18</v>
      </c>
      <c r="G16" s="16" t="s">
        <v>39</v>
      </c>
    </row>
    <row r="17" spans="1:7" hidden="1">
      <c r="A17" s="19" t="s">
        <v>44</v>
      </c>
      <c r="B17" s="10" t="s">
        <v>387</v>
      </c>
      <c r="C17" s="16" t="s">
        <v>5</v>
      </c>
      <c r="D17" s="16" t="s">
        <v>18</v>
      </c>
      <c r="E17" s="16">
        <v>1</v>
      </c>
      <c r="F17" s="16">
        <v>1</v>
      </c>
      <c r="G17" s="16" t="s">
        <v>57</v>
      </c>
    </row>
    <row r="18" spans="1:7" hidden="1">
      <c r="A18" s="19" t="s">
        <v>44</v>
      </c>
      <c r="B18" s="10" t="s">
        <v>307</v>
      </c>
      <c r="C18" s="16" t="s">
        <v>5</v>
      </c>
      <c r="D18" s="16" t="s">
        <v>18</v>
      </c>
      <c r="E18" s="16">
        <v>2</v>
      </c>
      <c r="F18" s="16">
        <v>2</v>
      </c>
      <c r="G18" s="16" t="s">
        <v>57</v>
      </c>
    </row>
    <row r="19" spans="1:7" hidden="1">
      <c r="A19" s="19" t="s">
        <v>44</v>
      </c>
      <c r="B19" s="10" t="s">
        <v>335</v>
      </c>
      <c r="C19" s="16" t="s">
        <v>5</v>
      </c>
      <c r="D19" s="16" t="s">
        <v>18</v>
      </c>
    </row>
    <row r="20" spans="1:7" hidden="1">
      <c r="A20" s="19" t="s">
        <v>44</v>
      </c>
      <c r="B20" s="10" t="s">
        <v>336</v>
      </c>
      <c r="C20" s="16" t="s">
        <v>5</v>
      </c>
      <c r="D20" s="16" t="s">
        <v>18</v>
      </c>
    </row>
    <row r="21" spans="1:7">
      <c r="A21" s="19" t="s">
        <v>44</v>
      </c>
      <c r="B21" s="10" t="s">
        <v>260</v>
      </c>
      <c r="C21" s="16" t="s">
        <v>5</v>
      </c>
      <c r="D21" s="16" t="s">
        <v>18</v>
      </c>
      <c r="E21" s="16">
        <v>8</v>
      </c>
      <c r="G21" s="16" t="s">
        <v>39</v>
      </c>
    </row>
    <row r="22" spans="1:7" hidden="1">
      <c r="A22" s="20" t="s">
        <v>46</v>
      </c>
      <c r="B22" s="10" t="s">
        <v>261</v>
      </c>
      <c r="C22" s="16" t="s">
        <v>5</v>
      </c>
      <c r="D22" s="16" t="s">
        <v>18</v>
      </c>
      <c r="E22" s="16">
        <v>3</v>
      </c>
      <c r="F22" s="16">
        <v>3</v>
      </c>
      <c r="G22" s="16" t="s">
        <v>57</v>
      </c>
    </row>
    <row r="23" spans="1:7">
      <c r="A23" s="20" t="s">
        <v>46</v>
      </c>
      <c r="B23" s="10" t="s">
        <v>262</v>
      </c>
      <c r="C23" s="16" t="s">
        <v>257</v>
      </c>
      <c r="D23" s="16" t="s">
        <v>18</v>
      </c>
      <c r="E23" s="16">
        <v>5</v>
      </c>
      <c r="G23" s="16" t="s">
        <v>39</v>
      </c>
    </row>
    <row r="24" spans="1:7">
      <c r="A24" s="20" t="s">
        <v>46</v>
      </c>
      <c r="B24" s="10" t="s">
        <v>274</v>
      </c>
      <c r="C24" s="16" t="s">
        <v>257</v>
      </c>
      <c r="D24" s="16" t="s">
        <v>18</v>
      </c>
      <c r="E24" s="16">
        <v>6</v>
      </c>
      <c r="G24" s="16" t="s">
        <v>39</v>
      </c>
    </row>
    <row r="25" spans="1:7" hidden="1">
      <c r="A25" s="20" t="s">
        <v>46</v>
      </c>
      <c r="B25" s="10" t="s">
        <v>275</v>
      </c>
      <c r="C25" s="16" t="s">
        <v>5</v>
      </c>
      <c r="D25" s="16" t="s">
        <v>18</v>
      </c>
      <c r="E25" s="16">
        <v>4</v>
      </c>
      <c r="F25" s="16">
        <v>2</v>
      </c>
      <c r="G25" s="16" t="s">
        <v>57</v>
      </c>
    </row>
    <row r="26" spans="1:7" hidden="1">
      <c r="A26" s="20" t="s">
        <v>46</v>
      </c>
      <c r="B26" s="10" t="s">
        <v>308</v>
      </c>
      <c r="C26" s="16" t="s">
        <v>5</v>
      </c>
      <c r="D26" s="16" t="s">
        <v>18</v>
      </c>
      <c r="E26" s="16">
        <v>2</v>
      </c>
      <c r="F26" s="16">
        <v>1</v>
      </c>
      <c r="G26" s="16" t="s">
        <v>57</v>
      </c>
    </row>
    <row r="27" spans="1:7">
      <c r="A27" s="20" t="s">
        <v>46</v>
      </c>
      <c r="B27" s="10" t="s">
        <v>263</v>
      </c>
      <c r="C27" s="16" t="s">
        <v>257</v>
      </c>
      <c r="D27" s="16" t="s">
        <v>18</v>
      </c>
      <c r="E27" s="16">
        <v>8</v>
      </c>
      <c r="G27" s="16" t="s">
        <v>39</v>
      </c>
    </row>
    <row r="28" spans="1:7" hidden="1">
      <c r="A28" s="49" t="s">
        <v>264</v>
      </c>
      <c r="B28" s="10" t="s">
        <v>265</v>
      </c>
      <c r="C28" s="16" t="s">
        <v>5</v>
      </c>
      <c r="D28" s="16" t="s">
        <v>18</v>
      </c>
      <c r="E28" s="16">
        <v>3</v>
      </c>
      <c r="F28" s="16">
        <v>1</v>
      </c>
      <c r="G28" s="16" t="s">
        <v>57</v>
      </c>
    </row>
    <row r="29" spans="1:7" hidden="1">
      <c r="A29" s="49" t="s">
        <v>264</v>
      </c>
      <c r="B29" s="10" t="s">
        <v>266</v>
      </c>
      <c r="C29" s="16" t="s">
        <v>5</v>
      </c>
      <c r="D29" s="16" t="s">
        <v>18</v>
      </c>
      <c r="E29" s="16">
        <v>2</v>
      </c>
      <c r="F29" s="16">
        <v>2</v>
      </c>
      <c r="G29" s="16" t="s">
        <v>57</v>
      </c>
    </row>
    <row r="30" spans="1:7" hidden="1">
      <c r="A30" s="49" t="s">
        <v>264</v>
      </c>
      <c r="B30" s="10" t="s">
        <v>267</v>
      </c>
      <c r="C30" s="16" t="s">
        <v>5</v>
      </c>
      <c r="D30" s="16" t="s">
        <v>18</v>
      </c>
      <c r="E30" s="16">
        <v>1</v>
      </c>
      <c r="F30" s="16">
        <v>1</v>
      </c>
      <c r="G30" s="16" t="s">
        <v>57</v>
      </c>
    </row>
    <row r="31" spans="1:7">
      <c r="A31" s="49" t="s">
        <v>264</v>
      </c>
      <c r="B31" s="10" t="s">
        <v>268</v>
      </c>
      <c r="C31" s="16" t="s">
        <v>5</v>
      </c>
      <c r="D31" s="16" t="s">
        <v>18</v>
      </c>
      <c r="E31" s="16">
        <v>2</v>
      </c>
      <c r="G31" s="16" t="s">
        <v>306</v>
      </c>
    </row>
    <row r="32" spans="1:7">
      <c r="A32" s="49" t="s">
        <v>264</v>
      </c>
      <c r="B32" s="10" t="s">
        <v>269</v>
      </c>
      <c r="C32" s="16" t="s">
        <v>5</v>
      </c>
      <c r="D32" s="16" t="s">
        <v>18</v>
      </c>
      <c r="E32" s="16">
        <v>2</v>
      </c>
      <c r="G32" s="16" t="s">
        <v>39</v>
      </c>
    </row>
    <row r="33" spans="1:7">
      <c r="A33" s="21" t="s">
        <v>40</v>
      </c>
      <c r="B33" s="10" t="s">
        <v>270</v>
      </c>
      <c r="C33" s="16" t="s">
        <v>5</v>
      </c>
      <c r="D33" s="16" t="s">
        <v>18</v>
      </c>
      <c r="E33" s="16">
        <v>2</v>
      </c>
      <c r="G33" s="16" t="s">
        <v>306</v>
      </c>
    </row>
    <row r="34" spans="1:7">
      <c r="A34" s="21" t="s">
        <v>40</v>
      </c>
      <c r="B34" s="10" t="s">
        <v>271</v>
      </c>
      <c r="C34" s="16" t="s">
        <v>257</v>
      </c>
      <c r="D34" s="16" t="s">
        <v>18</v>
      </c>
      <c r="E34" s="16">
        <v>1</v>
      </c>
      <c r="G34" s="16" t="s">
        <v>39</v>
      </c>
    </row>
    <row r="35" spans="1:7" hidden="1">
      <c r="A35" s="21" t="s">
        <v>40</v>
      </c>
      <c r="B35" s="10" t="s">
        <v>291</v>
      </c>
      <c r="C35" s="16" t="s">
        <v>5</v>
      </c>
      <c r="D35" s="16" t="s">
        <v>18</v>
      </c>
      <c r="E35" s="16">
        <v>2</v>
      </c>
      <c r="F35" s="16">
        <v>12</v>
      </c>
      <c r="G35" s="16" t="s">
        <v>57</v>
      </c>
    </row>
    <row r="36" spans="1:7" hidden="1">
      <c r="A36" s="21" t="s">
        <v>40</v>
      </c>
      <c r="B36" s="10" t="s">
        <v>388</v>
      </c>
      <c r="C36" s="16" t="s">
        <v>5</v>
      </c>
      <c r="D36" s="16" t="s">
        <v>18</v>
      </c>
      <c r="E36" s="16">
        <v>3</v>
      </c>
      <c r="F36" s="16">
        <v>4</v>
      </c>
      <c r="G36" s="16" t="s">
        <v>57</v>
      </c>
    </row>
    <row r="37" spans="1:7">
      <c r="A37" s="21" t="s">
        <v>40</v>
      </c>
      <c r="B37" s="10" t="s">
        <v>272</v>
      </c>
      <c r="C37" s="16" t="s">
        <v>257</v>
      </c>
      <c r="D37" s="16" t="s">
        <v>18</v>
      </c>
      <c r="E37" s="16">
        <v>3</v>
      </c>
      <c r="G37" s="16" t="s">
        <v>39</v>
      </c>
    </row>
    <row r="38" spans="1:7" hidden="1">
      <c r="A38" s="21" t="s">
        <v>40</v>
      </c>
      <c r="B38" s="10" t="s">
        <v>273</v>
      </c>
      <c r="C38" s="16" t="s">
        <v>257</v>
      </c>
      <c r="D38" s="16" t="s">
        <v>18</v>
      </c>
      <c r="E38" s="16">
        <v>6</v>
      </c>
      <c r="F38" s="16">
        <v>6</v>
      </c>
      <c r="G38" s="16" t="s">
        <v>57</v>
      </c>
    </row>
    <row r="39" spans="1:7">
      <c r="A39" s="22" t="s">
        <v>41</v>
      </c>
      <c r="B39" s="10" t="s">
        <v>276</v>
      </c>
      <c r="C39" s="16" t="s">
        <v>5</v>
      </c>
      <c r="D39" s="16" t="s">
        <v>18</v>
      </c>
      <c r="E39" s="16">
        <v>3</v>
      </c>
      <c r="G39" s="16" t="s">
        <v>306</v>
      </c>
    </row>
    <row r="40" spans="1:7" hidden="1">
      <c r="A40" s="22" t="s">
        <v>41</v>
      </c>
      <c r="B40" s="10" t="s">
        <v>349</v>
      </c>
      <c r="C40" s="16" t="s">
        <v>5</v>
      </c>
      <c r="D40" s="16" t="s">
        <v>18</v>
      </c>
      <c r="E40" s="16">
        <v>1</v>
      </c>
      <c r="F40" s="16">
        <v>1</v>
      </c>
      <c r="G40" s="16" t="s">
        <v>57</v>
      </c>
    </row>
    <row r="41" spans="1:7" hidden="1">
      <c r="A41" s="22" t="s">
        <v>41</v>
      </c>
      <c r="B41" s="10" t="s">
        <v>75</v>
      </c>
      <c r="C41" s="16" t="s">
        <v>5</v>
      </c>
      <c r="D41" s="16" t="s">
        <v>18</v>
      </c>
      <c r="E41" s="16">
        <v>0</v>
      </c>
      <c r="G41" s="16" t="s">
        <v>57</v>
      </c>
    </row>
    <row r="42" spans="1:7">
      <c r="A42" s="23" t="s">
        <v>42</v>
      </c>
      <c r="B42" s="10" t="s">
        <v>278</v>
      </c>
      <c r="D42" s="16" t="s">
        <v>293</v>
      </c>
      <c r="E42" s="16">
        <v>2</v>
      </c>
      <c r="G42" s="16" t="s">
        <v>39</v>
      </c>
    </row>
    <row r="43" spans="1:7">
      <c r="A43" s="23" t="s">
        <v>42</v>
      </c>
      <c r="B43" s="10" t="s">
        <v>279</v>
      </c>
      <c r="C43" s="16" t="s">
        <v>5</v>
      </c>
      <c r="D43" s="16" t="s">
        <v>293</v>
      </c>
      <c r="E43" s="16">
        <v>1</v>
      </c>
      <c r="G43" s="16" t="s">
        <v>39</v>
      </c>
    </row>
    <row r="44" spans="1:7">
      <c r="A44" s="23" t="s">
        <v>42</v>
      </c>
      <c r="B44" s="10" t="s">
        <v>280</v>
      </c>
      <c r="D44" s="16" t="s">
        <v>293</v>
      </c>
      <c r="E44" s="16">
        <v>1</v>
      </c>
      <c r="F44" s="16">
        <v>1</v>
      </c>
      <c r="G44" s="16" t="s">
        <v>57</v>
      </c>
    </row>
    <row r="45" spans="1:7">
      <c r="A45" s="10" t="s">
        <v>277</v>
      </c>
      <c r="B45" s="10" t="s">
        <v>281</v>
      </c>
      <c r="D45" s="16" t="s">
        <v>10</v>
      </c>
      <c r="E45" s="16">
        <v>6</v>
      </c>
      <c r="G45" s="16" t="s">
        <v>39</v>
      </c>
    </row>
    <row r="46" spans="1:7">
      <c r="A46" s="10" t="s">
        <v>277</v>
      </c>
      <c r="B46" s="10" t="s">
        <v>282</v>
      </c>
      <c r="D46" s="16" t="s">
        <v>10</v>
      </c>
      <c r="E46" s="16">
        <v>6</v>
      </c>
      <c r="G46" s="16" t="s">
        <v>39</v>
      </c>
    </row>
    <row r="47" spans="1:7">
      <c r="A47" s="10" t="s">
        <v>277</v>
      </c>
      <c r="B47" s="10" t="s">
        <v>283</v>
      </c>
      <c r="D47" s="16" t="s">
        <v>18</v>
      </c>
      <c r="E47" s="16">
        <v>0</v>
      </c>
      <c r="G47" s="16" t="s">
        <v>39</v>
      </c>
    </row>
    <row r="48" spans="1:7">
      <c r="A48" s="13" t="s">
        <v>38</v>
      </c>
      <c r="B48" s="10" t="s">
        <v>284</v>
      </c>
      <c r="C48" s="16" t="s">
        <v>257</v>
      </c>
      <c r="D48" s="16" t="s">
        <v>10</v>
      </c>
      <c r="E48" s="16">
        <v>1</v>
      </c>
      <c r="G48" s="16" t="s">
        <v>39</v>
      </c>
    </row>
    <row r="49" spans="1:7">
      <c r="A49" s="13" t="s">
        <v>38</v>
      </c>
      <c r="B49" s="10" t="s">
        <v>285</v>
      </c>
      <c r="C49" s="16" t="s">
        <v>5</v>
      </c>
      <c r="D49" s="16" t="s">
        <v>10</v>
      </c>
      <c r="E49" s="16">
        <v>8</v>
      </c>
      <c r="G49" s="16" t="s">
        <v>39</v>
      </c>
    </row>
    <row r="50" spans="1:7">
      <c r="A50" s="13" t="s">
        <v>38</v>
      </c>
      <c r="B50" s="10" t="s">
        <v>286</v>
      </c>
      <c r="C50" s="16" t="s">
        <v>5</v>
      </c>
      <c r="D50" s="16" t="s">
        <v>10</v>
      </c>
      <c r="E50" s="16">
        <v>6</v>
      </c>
      <c r="G50" s="16" t="s">
        <v>39</v>
      </c>
    </row>
    <row r="51" spans="1:7">
      <c r="A51" s="13" t="s">
        <v>38</v>
      </c>
      <c r="B51" s="10" t="s">
        <v>287</v>
      </c>
      <c r="C51" s="16" t="s">
        <v>5</v>
      </c>
      <c r="D51" s="16" t="s">
        <v>10</v>
      </c>
      <c r="E51" s="16">
        <v>8</v>
      </c>
      <c r="G51" s="16" t="s">
        <v>39</v>
      </c>
    </row>
    <row r="52" spans="1:7">
      <c r="A52" s="13" t="s">
        <v>38</v>
      </c>
      <c r="B52" s="10" t="s">
        <v>288</v>
      </c>
      <c r="C52" s="16" t="s">
        <v>5</v>
      </c>
      <c r="D52" s="16" t="s">
        <v>10</v>
      </c>
      <c r="E52" s="16">
        <v>8</v>
      </c>
      <c r="G52" s="16" t="s">
        <v>39</v>
      </c>
    </row>
    <row r="53" spans="1:7">
      <c r="A53" s="13" t="s">
        <v>38</v>
      </c>
      <c r="B53" s="10" t="s">
        <v>289</v>
      </c>
      <c r="C53" s="16" t="s">
        <v>5</v>
      </c>
      <c r="D53" s="16" t="s">
        <v>10</v>
      </c>
      <c r="E53" s="16">
        <v>4</v>
      </c>
      <c r="G53" s="16" t="s">
        <v>39</v>
      </c>
    </row>
    <row r="54" spans="1:7">
      <c r="A54" s="13" t="s">
        <v>38</v>
      </c>
      <c r="B54" s="10" t="s">
        <v>290</v>
      </c>
      <c r="C54" s="16" t="s">
        <v>5</v>
      </c>
      <c r="D54" s="16" t="s">
        <v>10</v>
      </c>
      <c r="E54" s="16">
        <v>12</v>
      </c>
      <c r="G54" s="16" t="s">
        <v>39</v>
      </c>
    </row>
    <row r="55" spans="1:7">
      <c r="A55" s="13" t="s">
        <v>38</v>
      </c>
      <c r="B55" s="10" t="s">
        <v>292</v>
      </c>
      <c r="C55" s="16" t="s">
        <v>5</v>
      </c>
      <c r="D55" s="16" t="s">
        <v>293</v>
      </c>
      <c r="E55" s="16">
        <v>12</v>
      </c>
      <c r="F55" s="10"/>
      <c r="G55" s="16" t="s">
        <v>39</v>
      </c>
    </row>
    <row r="57" spans="1:7">
      <c r="A57" s="10" t="s">
        <v>309</v>
      </c>
      <c r="B57" s="10" t="s">
        <v>310</v>
      </c>
    </row>
  </sheetData>
  <autoFilter ref="B2:G55" xr:uid="{00000000-0001-0000-0000-000000000000}">
    <filterColumn colId="5">
      <filters>
        <filter val="作業中"/>
        <filter val="未着手"/>
      </filters>
    </filterColumn>
    <sortState xmlns:xlrd2="http://schemas.microsoft.com/office/spreadsheetml/2017/richdata2" ref="B3:G38">
      <sortCondition ref="B2:B38"/>
    </sortState>
  </autoFilter>
  <phoneticPr fontId="1"/>
  <dataValidations count="3">
    <dataValidation type="list" allowBlank="1" showInputMessage="1" showErrorMessage="1" sqref="D3:D55" xr:uid="{8982FD40-CA4D-4B92-93FE-B37B6B67ACD6}">
      <formula1>"プロト,アルファ,ベータ,マスタ"</formula1>
    </dataValidation>
    <dataValidation type="list" allowBlank="1" showInputMessage="1" showErrorMessage="1" sqref="G3:G55" xr:uid="{E1CFE88F-4F87-4696-BE21-1133C2AEB8C1}">
      <formula1>"未着手,作業中,完了"</formula1>
    </dataValidation>
    <dataValidation type="list" allowBlank="1" showInputMessage="1" showErrorMessage="1" sqref="C3:C55"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28" zoomScale="115" zoomScaleNormal="115" workbookViewId="0">
      <selection activeCell="J27" sqref="J27:K29"/>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1" spans="3:16">
      <c r="K11" t="s">
        <v>350</v>
      </c>
      <c r="L11" s="53"/>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9">
      <c r="C17" s="31">
        <v>21</v>
      </c>
      <c r="D17" s="31">
        <v>22</v>
      </c>
      <c r="E17" s="31">
        <v>23</v>
      </c>
      <c r="F17" s="31">
        <v>24</v>
      </c>
      <c r="G17" s="31">
        <v>25</v>
      </c>
      <c r="H17" s="31">
        <v>26</v>
      </c>
      <c r="I17" s="31">
        <v>27</v>
      </c>
    </row>
    <row r="18" spans="3:9">
      <c r="C18" s="31">
        <v>28</v>
      </c>
      <c r="D18" s="31">
        <v>29</v>
      </c>
      <c r="E18" s="31">
        <v>30</v>
      </c>
      <c r="F18" s="10"/>
      <c r="G18" s="10"/>
      <c r="H18" s="10"/>
      <c r="I18" s="10"/>
    </row>
    <row r="20" spans="3:9">
      <c r="C20" t="s">
        <v>64</v>
      </c>
    </row>
    <row r="21" spans="3:9">
      <c r="C21" s="11" t="s">
        <v>50</v>
      </c>
      <c r="D21" s="11" t="s">
        <v>51</v>
      </c>
      <c r="E21" s="11" t="s">
        <v>52</v>
      </c>
      <c r="F21" s="11" t="s">
        <v>53</v>
      </c>
      <c r="G21" s="11" t="s">
        <v>54</v>
      </c>
      <c r="H21" s="11" t="s">
        <v>55</v>
      </c>
      <c r="I21" s="11" t="s">
        <v>56</v>
      </c>
    </row>
    <row r="22" spans="3:9">
      <c r="C22" s="10"/>
      <c r="D22" s="10"/>
      <c r="E22" s="10"/>
      <c r="F22" s="31">
        <v>1</v>
      </c>
      <c r="G22" s="31">
        <v>2</v>
      </c>
      <c r="H22" s="31">
        <v>3</v>
      </c>
      <c r="I22" s="31">
        <v>4</v>
      </c>
    </row>
    <row r="23" spans="3:9">
      <c r="C23" s="31">
        <v>5</v>
      </c>
      <c r="D23" s="31">
        <v>6</v>
      </c>
      <c r="E23" s="31">
        <v>7</v>
      </c>
      <c r="F23" s="31">
        <v>8</v>
      </c>
      <c r="G23" s="31">
        <v>9</v>
      </c>
      <c r="H23" s="31">
        <v>10</v>
      </c>
      <c r="I23" s="31">
        <v>11</v>
      </c>
    </row>
    <row r="24" spans="3:9">
      <c r="C24" s="31">
        <v>12</v>
      </c>
      <c r="D24" s="31">
        <v>13</v>
      </c>
      <c r="E24" s="31">
        <v>14</v>
      </c>
      <c r="F24" s="31">
        <v>15</v>
      </c>
      <c r="G24" s="31">
        <v>16</v>
      </c>
      <c r="H24" s="31">
        <v>17</v>
      </c>
      <c r="I24" s="19">
        <v>18</v>
      </c>
    </row>
    <row r="25" spans="3:9">
      <c r="C25" s="19">
        <v>19</v>
      </c>
      <c r="D25" s="19">
        <v>20</v>
      </c>
      <c r="E25" s="19">
        <v>21</v>
      </c>
      <c r="F25" s="19">
        <v>22</v>
      </c>
      <c r="G25" s="19">
        <v>23</v>
      </c>
      <c r="H25" s="19">
        <v>24</v>
      </c>
      <c r="I25" s="19">
        <v>25</v>
      </c>
    </row>
    <row r="26" spans="3:9">
      <c r="C26" s="52">
        <v>26</v>
      </c>
      <c r="D26" s="52">
        <v>27</v>
      </c>
      <c r="E26" s="52">
        <v>28</v>
      </c>
      <c r="F26" s="52">
        <v>29</v>
      </c>
      <c r="G26" s="52">
        <v>30</v>
      </c>
      <c r="H26" s="52">
        <v>31</v>
      </c>
      <c r="I26" s="11"/>
    </row>
    <row r="30" spans="3:9">
      <c r="C30" t="s">
        <v>65</v>
      </c>
    </row>
    <row r="31" spans="3:9">
      <c r="C31" s="11" t="s">
        <v>50</v>
      </c>
      <c r="D31" s="11" t="s">
        <v>51</v>
      </c>
      <c r="E31" s="11" t="s">
        <v>52</v>
      </c>
      <c r="F31" s="11" t="s">
        <v>53</v>
      </c>
      <c r="G31" s="11" t="s">
        <v>54</v>
      </c>
      <c r="H31" s="11" t="s">
        <v>55</v>
      </c>
      <c r="I31" s="11" t="s">
        <v>56</v>
      </c>
    </row>
    <row r="32" spans="3:9">
      <c r="C32" s="10"/>
      <c r="D32" s="10"/>
      <c r="E32" s="10"/>
      <c r="F32" s="10"/>
      <c r="G32" s="10"/>
      <c r="H32" s="10"/>
      <c r="I32" s="52">
        <v>1</v>
      </c>
    </row>
    <row r="33" spans="3:11">
      <c r="C33" s="19">
        <v>2</v>
      </c>
      <c r="D33" s="19">
        <v>3</v>
      </c>
      <c r="E33" s="52">
        <v>4</v>
      </c>
      <c r="F33" s="19">
        <v>5</v>
      </c>
      <c r="G33" s="19">
        <v>6</v>
      </c>
      <c r="H33" s="19">
        <v>7</v>
      </c>
      <c r="I33" s="19">
        <v>8</v>
      </c>
    </row>
    <row r="34" spans="3:11">
      <c r="C34" s="19">
        <v>9</v>
      </c>
      <c r="D34" s="19">
        <v>10</v>
      </c>
      <c r="E34" s="37">
        <v>11</v>
      </c>
      <c r="F34" s="37">
        <v>12</v>
      </c>
      <c r="G34" s="37">
        <v>13</v>
      </c>
      <c r="H34" s="37">
        <v>14</v>
      </c>
      <c r="I34" s="37">
        <v>15</v>
      </c>
    </row>
    <row r="35" spans="3:11">
      <c r="C35" s="37">
        <v>16</v>
      </c>
      <c r="D35" s="37">
        <v>17</v>
      </c>
      <c r="E35" s="37">
        <v>18</v>
      </c>
      <c r="F35" s="37">
        <v>19</v>
      </c>
      <c r="G35" s="37">
        <v>20</v>
      </c>
      <c r="H35" s="37">
        <v>21</v>
      </c>
      <c r="I35" s="37">
        <v>22</v>
      </c>
    </row>
    <row r="36" spans="3:11">
      <c r="C36" s="37">
        <v>23</v>
      </c>
      <c r="D36" s="52">
        <v>24</v>
      </c>
      <c r="E36" s="52">
        <v>25</v>
      </c>
      <c r="F36" s="52">
        <v>26</v>
      </c>
      <c r="G36" s="52">
        <v>27</v>
      </c>
      <c r="H36" s="52">
        <v>28</v>
      </c>
      <c r="I36" s="34">
        <v>29</v>
      </c>
      <c r="K36" t="s">
        <v>351</v>
      </c>
    </row>
    <row r="37" spans="3:11">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140"/>
  <sheetViews>
    <sheetView tabSelected="1" topLeftCell="A133" workbookViewId="0">
      <selection activeCell="C141" sqref="C141"/>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row r="43" spans="1:3">
      <c r="A43" s="1">
        <v>46209</v>
      </c>
      <c r="C43" t="s">
        <v>334</v>
      </c>
    </row>
    <row r="44" spans="1:3">
      <c r="C44" t="s">
        <v>337</v>
      </c>
    </row>
    <row r="45" spans="1:3">
      <c r="C45" t="s">
        <v>338</v>
      </c>
    </row>
    <row r="46" spans="1:3">
      <c r="C46" t="s">
        <v>339</v>
      </c>
    </row>
    <row r="47" spans="1:3">
      <c r="C47" t="s">
        <v>340</v>
      </c>
    </row>
    <row r="48" spans="1:3">
      <c r="C48" t="s">
        <v>341</v>
      </c>
    </row>
    <row r="49" spans="1:3">
      <c r="A49" s="1">
        <v>46210</v>
      </c>
      <c r="C49" t="s">
        <v>342</v>
      </c>
    </row>
    <row r="50" spans="1:3">
      <c r="C50" t="s">
        <v>343</v>
      </c>
    </row>
    <row r="52" spans="1:3">
      <c r="A52" s="1">
        <v>46211</v>
      </c>
      <c r="C52" t="s">
        <v>344</v>
      </c>
    </row>
    <row r="53" spans="1:3">
      <c r="C53" t="s">
        <v>345</v>
      </c>
    </row>
    <row r="54" spans="1:3">
      <c r="C54" t="s">
        <v>346</v>
      </c>
    </row>
    <row r="55" spans="1:3">
      <c r="C55" t="s">
        <v>347</v>
      </c>
    </row>
    <row r="56" spans="1:3">
      <c r="C56" t="s">
        <v>348</v>
      </c>
    </row>
    <row r="58" spans="1:3">
      <c r="C58" t="s">
        <v>352</v>
      </c>
    </row>
    <row r="60" spans="1:3">
      <c r="C60" t="s">
        <v>378</v>
      </c>
    </row>
    <row r="61" spans="1:3">
      <c r="C61" t="s">
        <v>379</v>
      </c>
    </row>
    <row r="63" spans="1:3">
      <c r="A63" s="1">
        <v>46212</v>
      </c>
      <c r="C63" t="s">
        <v>380</v>
      </c>
    </row>
    <row r="64" spans="1:3">
      <c r="C64" t="s">
        <v>381</v>
      </c>
    </row>
    <row r="65" spans="1:3">
      <c r="C65" t="s">
        <v>382</v>
      </c>
    </row>
    <row r="66" spans="1:3">
      <c r="C66" t="s">
        <v>383</v>
      </c>
    </row>
    <row r="68" spans="1:3">
      <c r="A68" s="1">
        <v>46213</v>
      </c>
      <c r="C68" t="s">
        <v>384</v>
      </c>
    </row>
    <row r="69" spans="1:3">
      <c r="C69" t="s">
        <v>385</v>
      </c>
    </row>
    <row r="70" spans="1:3">
      <c r="C70" t="s">
        <v>386</v>
      </c>
    </row>
    <row r="72" spans="1:3">
      <c r="A72" s="1">
        <v>46214</v>
      </c>
      <c r="C72" t="s">
        <v>389</v>
      </c>
    </row>
    <row r="73" spans="1:3">
      <c r="C73" t="s">
        <v>390</v>
      </c>
    </row>
    <row r="74" spans="1:3">
      <c r="C74" t="s">
        <v>391</v>
      </c>
    </row>
    <row r="76" spans="1:3">
      <c r="C76" t="s">
        <v>392</v>
      </c>
    </row>
    <row r="77" spans="1:3">
      <c r="C77" t="s">
        <v>393</v>
      </c>
    </row>
    <row r="78" spans="1:3">
      <c r="C78" t="s">
        <v>394</v>
      </c>
    </row>
    <row r="79" spans="1:3">
      <c r="C79" t="s">
        <v>395</v>
      </c>
    </row>
    <row r="81" spans="3:3">
      <c r="C81" t="s">
        <v>396</v>
      </c>
    </row>
    <row r="83" spans="3:3">
      <c r="C83" t="s">
        <v>398</v>
      </c>
    </row>
    <row r="84" spans="3:3">
      <c r="C84" t="s">
        <v>399</v>
      </c>
    </row>
    <row r="85" spans="3:3">
      <c r="C85" t="s">
        <v>400</v>
      </c>
    </row>
    <row r="87" spans="3:3">
      <c r="C87" t="s">
        <v>401</v>
      </c>
    </row>
    <row r="88" spans="3:3">
      <c r="C88" t="s">
        <v>402</v>
      </c>
    </row>
    <row r="90" spans="3:3">
      <c r="C90" t="s">
        <v>403</v>
      </c>
    </row>
    <row r="91" spans="3:3">
      <c r="C91" t="s">
        <v>404</v>
      </c>
    </row>
    <row r="92" spans="3:3">
      <c r="C92" t="s">
        <v>405</v>
      </c>
    </row>
    <row r="93" spans="3:3">
      <c r="C93" t="s">
        <v>406</v>
      </c>
    </row>
    <row r="94" spans="3:3">
      <c r="C94" t="s">
        <v>407</v>
      </c>
    </row>
    <row r="95" spans="3:3">
      <c r="C95" t="s">
        <v>408</v>
      </c>
    </row>
    <row r="96" spans="3:3">
      <c r="C96" t="s">
        <v>409</v>
      </c>
    </row>
    <row r="97" spans="1:3">
      <c r="C97" t="s">
        <v>410</v>
      </c>
    </row>
    <row r="99" spans="1:3">
      <c r="A99" s="1">
        <v>46215</v>
      </c>
      <c r="C99" t="s">
        <v>411</v>
      </c>
    </row>
    <row r="100" spans="1:3">
      <c r="C100" t="s">
        <v>412</v>
      </c>
    </row>
    <row r="101" spans="1:3">
      <c r="C101" t="s">
        <v>413</v>
      </c>
    </row>
    <row r="102" spans="1:3">
      <c r="C102" t="s">
        <v>414</v>
      </c>
    </row>
    <row r="103" spans="1:3">
      <c r="C103" t="s">
        <v>415</v>
      </c>
    </row>
    <row r="104" spans="1:3">
      <c r="C104" t="s">
        <v>416</v>
      </c>
    </row>
    <row r="105" spans="1:3">
      <c r="C105" t="s">
        <v>417</v>
      </c>
    </row>
    <row r="106" spans="1:3">
      <c r="C106" t="s">
        <v>418</v>
      </c>
    </row>
    <row r="107" spans="1:3">
      <c r="C107" t="s">
        <v>419</v>
      </c>
    </row>
    <row r="109" spans="1:3">
      <c r="A109" s="1">
        <v>46216</v>
      </c>
      <c r="C109" t="s">
        <v>420</v>
      </c>
    </row>
    <row r="110" spans="1:3">
      <c r="C110" t="s">
        <v>421</v>
      </c>
    </row>
    <row r="111" spans="1:3">
      <c r="C111" t="s">
        <v>422</v>
      </c>
    </row>
    <row r="112" spans="1:3">
      <c r="C112" t="s">
        <v>423</v>
      </c>
    </row>
    <row r="113" spans="1:3">
      <c r="C113" t="s">
        <v>424</v>
      </c>
    </row>
    <row r="114" spans="1:3">
      <c r="C114" t="s">
        <v>425</v>
      </c>
    </row>
    <row r="115" spans="1:3">
      <c r="C115" t="s">
        <v>426</v>
      </c>
    </row>
    <row r="116" spans="1:3">
      <c r="C116" t="s">
        <v>427</v>
      </c>
    </row>
    <row r="118" spans="1:3">
      <c r="A118" s="1">
        <v>46218</v>
      </c>
      <c r="C118" t="s">
        <v>433</v>
      </c>
    </row>
    <row r="119" spans="1:3">
      <c r="C119" t="s">
        <v>434</v>
      </c>
    </row>
    <row r="121" spans="1:3">
      <c r="C121" t="s">
        <v>435</v>
      </c>
    </row>
    <row r="122" spans="1:3">
      <c r="C122" t="s">
        <v>436</v>
      </c>
    </row>
    <row r="123" spans="1:3">
      <c r="C123" t="s">
        <v>437</v>
      </c>
    </row>
    <row r="124" spans="1:3">
      <c r="A124" s="1">
        <v>46219</v>
      </c>
      <c r="C124" t="s">
        <v>438</v>
      </c>
    </row>
    <row r="125" spans="1:3">
      <c r="A125" s="1">
        <v>46220</v>
      </c>
      <c r="C125" t="s">
        <v>439</v>
      </c>
    </row>
    <row r="126" spans="1:3">
      <c r="C126" t="s">
        <v>440</v>
      </c>
    </row>
    <row r="127" spans="1:3">
      <c r="C127" t="s">
        <v>441</v>
      </c>
    </row>
    <row r="128" spans="1:3">
      <c r="C128" t="s">
        <v>442</v>
      </c>
    </row>
    <row r="129" spans="1:3">
      <c r="C129" t="s">
        <v>443</v>
      </c>
    </row>
    <row r="130" spans="1:3">
      <c r="A130" s="1">
        <v>46221</v>
      </c>
      <c r="C130" t="s">
        <v>444</v>
      </c>
    </row>
    <row r="131" spans="1:3">
      <c r="C131" t="s">
        <v>445</v>
      </c>
    </row>
    <row r="132" spans="1:3">
      <c r="C132" t="s">
        <v>446</v>
      </c>
    </row>
    <row r="133" spans="1:3">
      <c r="C133" t="s">
        <v>447</v>
      </c>
    </row>
    <row r="134" spans="1:3">
      <c r="C134" t="s">
        <v>448</v>
      </c>
    </row>
    <row r="135" spans="1:3">
      <c r="C135" t="s">
        <v>449</v>
      </c>
    </row>
    <row r="136" spans="1:3">
      <c r="C136" t="s">
        <v>450</v>
      </c>
    </row>
    <row r="137" spans="1:3">
      <c r="C137" t="s">
        <v>451</v>
      </c>
    </row>
    <row r="138" spans="1:3">
      <c r="C138" t="s">
        <v>452</v>
      </c>
    </row>
    <row r="139" spans="1:3">
      <c r="C139" t="s">
        <v>459</v>
      </c>
    </row>
    <row r="140" spans="1:3">
      <c r="C140" t="s">
        <v>460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D8AAA-735E-4C60-B6AA-AFC225D5AECF}">
  <dimension ref="D2:R17"/>
  <sheetViews>
    <sheetView workbookViewId="0">
      <selection activeCell="G13" sqref="G13"/>
    </sheetView>
  </sheetViews>
  <sheetFormatPr defaultRowHeight="18.75"/>
  <cols>
    <col min="4" max="4" width="20.125" bestFit="1" customWidth="1"/>
    <col min="5" max="5" width="7.125" bestFit="1" customWidth="1"/>
    <col min="7" max="7" width="7.125" bestFit="1" customWidth="1"/>
    <col min="8" max="8" width="11" bestFit="1" customWidth="1"/>
  </cols>
  <sheetData>
    <row r="2" spans="4:18">
      <c r="D2" t="s">
        <v>359</v>
      </c>
    </row>
    <row r="3" spans="4:18">
      <c r="D3" t="s">
        <v>353</v>
      </c>
    </row>
    <row r="4" spans="4:18">
      <c r="D4" t="s">
        <v>357</v>
      </c>
      <c r="H4" t="s">
        <v>354</v>
      </c>
    </row>
    <row r="5" spans="4:18">
      <c r="D5" t="s">
        <v>358</v>
      </c>
      <c r="H5" t="s">
        <v>355</v>
      </c>
      <c r="N5" t="s">
        <v>368</v>
      </c>
      <c r="O5" t="s">
        <v>369</v>
      </c>
      <c r="P5" t="s">
        <v>370</v>
      </c>
      <c r="Q5" t="s">
        <v>369</v>
      </c>
      <c r="R5" t="s">
        <v>371</v>
      </c>
    </row>
    <row r="6" spans="4:18">
      <c r="H6" t="s">
        <v>356</v>
      </c>
    </row>
    <row r="9" spans="4:18">
      <c r="D9" t="s">
        <v>360</v>
      </c>
    </row>
    <row r="10" spans="4:18">
      <c r="D10" t="s">
        <v>361</v>
      </c>
      <c r="E10" t="s">
        <v>362</v>
      </c>
      <c r="F10" t="s">
        <v>364</v>
      </c>
      <c r="G10" t="s">
        <v>365</v>
      </c>
      <c r="H10" t="s">
        <v>366</v>
      </c>
      <c r="I10" t="s">
        <v>99</v>
      </c>
      <c r="J10" t="s">
        <v>367</v>
      </c>
      <c r="K10" t="s">
        <v>363</v>
      </c>
    </row>
    <row r="12" spans="4:18">
      <c r="D12" s="54" t="s">
        <v>372</v>
      </c>
      <c r="E12" s="54" t="s">
        <v>373</v>
      </c>
    </row>
    <row r="13" spans="4:18">
      <c r="D13" s="54"/>
      <c r="E13" s="54" t="s">
        <v>374</v>
      </c>
    </row>
    <row r="15" spans="4:18">
      <c r="D15" t="s">
        <v>375</v>
      </c>
      <c r="E15" t="s">
        <v>107</v>
      </c>
      <c r="K15" t="s">
        <v>377</v>
      </c>
    </row>
    <row r="17" spans="14:16">
      <c r="N17" t="s">
        <v>277</v>
      </c>
      <c r="P17" t="s">
        <v>376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E60"/>
  <sheetViews>
    <sheetView topLeftCell="A45" workbookViewId="0">
      <selection activeCell="B63" sqref="B63"/>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5">
      <c r="B17" t="s">
        <v>131</v>
      </c>
      <c r="D17" t="s">
        <v>145</v>
      </c>
    </row>
    <row r="18" spans="2:5">
      <c r="B18" t="s">
        <v>321</v>
      </c>
    </row>
    <row r="19" spans="2:5">
      <c r="B19" t="s">
        <v>322</v>
      </c>
    </row>
    <row r="20" spans="2:5">
      <c r="B20" t="s">
        <v>323</v>
      </c>
      <c r="D20" t="s">
        <v>312</v>
      </c>
    </row>
    <row r="21" spans="2:5">
      <c r="B21" t="s">
        <v>324</v>
      </c>
      <c r="D21" t="s">
        <v>313</v>
      </c>
      <c r="E21" t="s">
        <v>314</v>
      </c>
    </row>
    <row r="22" spans="2:5">
      <c r="B22" t="s">
        <v>325</v>
      </c>
      <c r="D22" t="s">
        <v>315</v>
      </c>
      <c r="E22" t="s">
        <v>316</v>
      </c>
    </row>
    <row r="23" spans="2:5">
      <c r="D23" t="s">
        <v>317</v>
      </c>
      <c r="E23" t="s">
        <v>318</v>
      </c>
    </row>
    <row r="25" spans="2:5">
      <c r="B25" s="32"/>
    </row>
    <row r="27" spans="2:5">
      <c r="B27" t="s">
        <v>207</v>
      </c>
      <c r="D27" t="s">
        <v>319</v>
      </c>
    </row>
    <row r="28" spans="2:5">
      <c r="B28" t="s">
        <v>311</v>
      </c>
      <c r="D28" t="s">
        <v>320</v>
      </c>
    </row>
    <row r="31" spans="2:5">
      <c r="B31" t="s">
        <v>326</v>
      </c>
    </row>
    <row r="33" spans="2:2">
      <c r="B33" t="s">
        <v>327</v>
      </c>
    </row>
    <row r="34" spans="2:2">
      <c r="B34" t="s">
        <v>329</v>
      </c>
    </row>
    <row r="35" spans="2:2">
      <c r="B35" t="s">
        <v>330</v>
      </c>
    </row>
    <row r="36" spans="2:2">
      <c r="B36" t="s">
        <v>328</v>
      </c>
    </row>
    <row r="37" spans="2:2">
      <c r="B37" t="s">
        <v>331</v>
      </c>
    </row>
    <row r="40" spans="2:2">
      <c r="B40" t="s">
        <v>332</v>
      </c>
    </row>
    <row r="41" spans="2:2">
      <c r="B41" t="s">
        <v>333</v>
      </c>
    </row>
    <row r="45" spans="2:2">
      <c r="B45" t="s">
        <v>397</v>
      </c>
    </row>
    <row r="47" spans="2:2">
      <c r="B47" t="s">
        <v>428</v>
      </c>
    </row>
    <row r="48" spans="2:2">
      <c r="B48" t="s">
        <v>429</v>
      </c>
    </row>
    <row r="49" spans="2:2">
      <c r="B49" t="s">
        <v>430</v>
      </c>
    </row>
    <row r="50" spans="2:2">
      <c r="B50" t="s">
        <v>431</v>
      </c>
    </row>
    <row r="51" spans="2:2">
      <c r="B51" t="s">
        <v>432</v>
      </c>
    </row>
    <row r="54" spans="2:2">
      <c r="B54" t="s">
        <v>453</v>
      </c>
    </row>
    <row r="55" spans="2:2">
      <c r="B55" t="s">
        <v>454</v>
      </c>
    </row>
    <row r="57" spans="2:2">
      <c r="B57" t="s">
        <v>455</v>
      </c>
    </row>
    <row r="58" spans="2:2">
      <c r="B58" t="s">
        <v>456</v>
      </c>
    </row>
    <row r="59" spans="2:2">
      <c r="B59" t="s">
        <v>457</v>
      </c>
    </row>
    <row r="60" spans="2:2">
      <c r="B60" t="s">
        <v>458</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BF17534-2B47-4857-AC25-7C99424F8AA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概要</vt:lpstr>
      <vt:lpstr>作業工数見積もり</vt:lpstr>
      <vt:lpstr>カレンダー</vt:lpstr>
      <vt:lpstr>日記</vt:lpstr>
      <vt:lpstr>Sheet1</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2026-07-19T09:56:50Z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