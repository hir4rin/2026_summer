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平尾泰稀\Documents\GitHub\2026_summer\進捗\"/>
    </mc:Choice>
  </mc:AlternateContent>
  <xr:revisionPtr revIDLastSave="0" documentId="13_ncr:1_{E72D9DA8-DBC7-460D-A78C-7224C8C3F3A6}" xr6:coauthVersionLast="47" xr6:coauthVersionMax="47" xr10:uidLastSave="{00000000-0000-0000-0000-000000000000}"/>
  <bookViews>
    <workbookView xWindow="4200" yWindow="-12825" windowWidth="21600" windowHeight="11295" activeTab="3" xr2:uid="{00000000-000D-0000-FFFF-FFFF00000000}"/>
  </bookViews>
  <sheets>
    <sheet name="概要" sheetId="5" r:id="rId1"/>
    <sheet name="作業工数見積もり" sheetId="1" r:id="rId2"/>
    <sheet name="カレンダー" sheetId="6" r:id="rId3"/>
    <sheet name="日記" sheetId="12" r:id="rId4"/>
    <sheet name="Sheet1" sheetId="16" r:id="rId5"/>
    <sheet name="メモ" sheetId="9" r:id="rId6"/>
    <sheet name="雑用" sheetId="10" r:id="rId7"/>
    <sheet name="仕様書①" sheetId="13" r:id="rId8"/>
    <sheet name="仕様書②" sheetId="15" r:id="rId9"/>
    <sheet name="クラス設計" sheetId="14" r:id="rId10"/>
  </sheets>
  <definedNames>
    <definedName name="_xlnm._FilterDatabase" localSheetId="1" hidden="1">作業工数見積もり!$B$2:$G$53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<sst xmlns="http://schemas.openxmlformats.org/spreadsheetml/2006/main" count="620" uniqueCount="389">
  <si>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</si>
  <si>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</si>
  <si>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</si>
  <si>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</si>
  <si>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</si>
  <si>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</si>
  <si>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</si>
  <si>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</si>
  <si>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</si>
  <si>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</si>
  <si>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</si>
  <si>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</si>
  <si>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</si>
  <si>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</si>
  <si>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</si>
  <si>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</si>
  <si>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</si>
  <si>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</si>
  <si>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</si>
  <si>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</si>
  <si>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</si>
  <si>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</si>
  <si>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</si>
  <si>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</si>
  <si>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</si>
  <si>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</si>
  <si>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</si>
  <si>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</si>
  <si>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</si>
  <si>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</si>
  <si>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</si>
  <si>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</si>
  <si>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</si>
  <si>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</si>
  <si>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</si>
  <si>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</si>
  <si>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</si>
  <si>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</si>
  <si>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</si>
  <si>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</si>
  <si>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</si>
  <si>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</si>
  <si>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</si>
  <si>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</si>
  <si>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</si>
  <si>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</si>
  <si>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</si>
  <si>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</si>
  <si>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</si>
  <si>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</si>
  <si>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</si>
  <si>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</si>
  <si>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</si>
  <si>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</si>
  <si>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</si>
  <si>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</si>
  <si>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</si>
  <si>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</si>
  <si>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</si>
  <si>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</si>
  <si>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</si>
  <si>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</si>
  <si>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</si>
  <si>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</si>
  <si>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</si>
  <si>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</si>
  <si>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</si>
  <si>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</si>
  <si>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</si>
  <si>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</si>
  <si>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</si>
  <si>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</si>
  <si>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</si>
  <si>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</si>
  <si>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</si>
  <si>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</si>
  <si>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</si>
  <si>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</si>
  <si>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</si>
  <si>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</si>
  <si>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</si>
  <si>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</si>
  <si>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</si>
  <si>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</si>
  <si>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</si>
  <si>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</si>
  <si>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</si>
  <si>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</si>
  <si>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</si>
  <si>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</si>
  <si>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</si>
  <si>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</si>
  <si>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</si>
  <si>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</si>
  <si>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</si>
  <si>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</si>
  <si>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</si>
  <si>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</si>
  <si>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</si>
  <si>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</si>
  <si>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</si>
  <si>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</si>
  <si>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</si>
  <si>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</si>
  <si>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</si>
  <si>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</si>
  <si>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</si>
  <si>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</si>
  <si>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</si>
  <si>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</si>
  <si>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</si>
  <si>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</si>
  <si>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</si>
  <si>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</si>
  <si>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</si>
  <si>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</si>
  <si>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</si>
  <si>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</si>
  <si>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</si>
  <si>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</si>
  <si>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</si>
  <si>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</si>
  <si>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</si>
  <si>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</si>
  <si>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</si>
  <si>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</si>
  <si>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</si>
  <si>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</si>
  <si>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</si>
  <si>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</si>
  <si>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</si>
  <si>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</si>
  <si>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</si>
  <si>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</si>
  <si>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</si>
  <si>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</si>
  <si>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</si>
  <si>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</si>
  <si>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</si>
  <si>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</si>
  <si>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</si>
  <si>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</si>
  <si>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</si>
  <si>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</si>
  <si>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</si>
  <si>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</si>
  <si>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</si>
  <si>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</si>
  <si>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</si>
  <si>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</si>
  <si>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</si>
  <si>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</si>
  <si>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</si>
  <si>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</si>
  <si>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</si>
  <si>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</si>
  <si>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</si>
  <si>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</si>
  <si>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</si>
  <si>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</si>
  <si>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</si>
  <si>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</si>
  <si>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</si>
  <si>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</si>
  <si>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</si>
  <si>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</si>
  <si>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</si>
  <si>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</si>
  <si>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</si>
  <si>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</si>
  <si>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</si>
  <si>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</si>
  <si>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</si>
  <si>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</si>
  <si>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</si>
  <si>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</si>
  <si>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</si>
  <si>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</si>
  <si>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</si>
  <si>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</si>
  <si>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</si>
  <si>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</si>
  <si>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</si>
  <si>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</si>
  <si>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</si>
  <si>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</si>
  <si>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</si>
  <si>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</si>
  <si>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</si>
  <si>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</si>
  <si>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</si>
  <si>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</si>
  <si>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</si>
  <si>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</si>
  <si>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</si>
  <si>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</si>
  <si>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</si>
  <si>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</si>
  <si>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</si>
  <si>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</si>
  <si>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</si>
  <si>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</si>
  <si>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</si>
  <si>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</si>
  <si>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</si>
  <si>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</si>
  <si>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</si>
  <si>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</si>
  <si>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</si>
  <si>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</si>
  <si>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</si>
  <si>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</si>
  <si>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</si>
  <si>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</si>
  <si>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</si>
  <si>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</si>
  <si>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</si>
  <si>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</si>
  <si>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</si>
  <si>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</si>
  <si>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</si>
  <si>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</si>
  <si>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</si>
  <si>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</si>
  <si>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</si>
  <si>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</si>
  <si>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</si>
  <si>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</si>
  <si>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</si>
  <si>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</si>
  <si>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</si>
  <si>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</si>
  <si>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</si>
  <si>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</si>
  <si>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</si>
  <si>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</si>
  <si>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</si>
  <si>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</si>
  <si>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</si>
  <si>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</si>
  <si>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</si>
  <si>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</si>
  <si>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</si>
  <si>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</si>
  <si>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</si>
  <si>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</si>
  <si>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</si>
  <si>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</si>
  <si>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</si>
  <si>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</si>
  <si>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</si>
  <si>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</si>
  <si>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</si>
  <si>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</si>
  <si>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</si>
  <si>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</si>
  <si>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</si>
  <si>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</si>
  <si>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</si>
  <si>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</si>
  <si>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</si>
  <si>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</si>
  <si>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</si>
  <si>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</si>
  <si>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</si>
  <si>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</si>
  <si>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</si>
  <si>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</si>
  <si>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</si>
  <si>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</si>
  <si>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</si>
  <si>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</si>
  <si>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</si>
  <si>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</si>
  <si>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</si>
  <si>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</si>
  <si>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</si>
  <si>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</si>
  <si>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</si>
  <si>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</si>
  <si>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</si>
  <si>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</si>
  <si>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</si>
  <si>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</si>
  <si>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</si>
  <si>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</si>
  <si>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</si>
  <si>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</si>
  <si>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</si>
  <si>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</si>
  <si>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</si>
  <si>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</si>
  <si>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</si>
  <si>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</si>
  <si>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</si>
  <si>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</si>
  <si>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</si>
  <si>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</si>
  <si>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</si>
  <si>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</si>
  <si>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</si>
  <si>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</si>
  <si>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</si>
  <si>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</si>
  <si>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</si>
  <si>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</si>
  <si>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</si>
  <si>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</si>
  <si>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</si>
  <si>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</si>
  <si>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</si>
  <si>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</si>
  <si>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</si>
  <si>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</si>
  <si>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</si>
  <si>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</si>
  <si>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</si>
  <si>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</si>
  <si>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</si>
  <si>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</si>
  <si>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ロックオンはプレイヤーから一番近い敵をロックオン</t>
    <rPh sb="13" eb="16">
      <t>イチバンチカ</t>
    </rPh>
    <rPh sb="17" eb="18">
      <t>テキ</t>
    </rPh>
    <phoneticPr fontId="1"/>
  </si>
  <si>
    <t>ロックオンした敵の方向にプレイヤーは攻撃する</t>
    <rPh sb="7" eb="8">
      <t>テキ</t>
    </rPh>
    <rPh sb="9" eb="11">
      <t>ホウコウ</t>
    </rPh>
    <rPh sb="18" eb="20">
      <t>コウゲキ</t>
    </rPh>
    <phoneticPr fontId="1"/>
  </si>
  <si>
    <t>また、普通の攻撃した時も内部的にはロックオンし、別の入力があった場合は、切り替える</t>
    <rPh sb="3" eb="5">
      <t>フツウ</t>
    </rPh>
    <rPh sb="6" eb="8">
      <t>コウゲキ</t>
    </rPh>
    <rPh sb="10" eb="11">
      <t>トキ</t>
    </rPh>
    <rPh sb="12" eb="15">
      <t>ナイブテキ</t>
    </rPh>
    <rPh sb="24" eb="25">
      <t>ベツ</t>
    </rPh>
    <rPh sb="26" eb="28">
      <t>ニュウリョク</t>
    </rPh>
    <rPh sb="32" eb="34">
      <t>バアイ</t>
    </rPh>
    <rPh sb="36" eb="37">
      <t>キ</t>
    </rPh>
    <rPh sb="38" eb="39">
      <t>カ</t>
    </rPh>
    <phoneticPr fontId="1"/>
  </si>
  <si>
    <t>ロックオンした時はプレイヤーと敵の中間点をカメラは見続ける</t>
    <rPh sb="7" eb="8">
      <t>トキ</t>
    </rPh>
    <rPh sb="15" eb="16">
      <t>テキ</t>
    </rPh>
    <rPh sb="17" eb="20">
      <t>チュウカンテン</t>
    </rPh>
    <rPh sb="25" eb="27">
      <t>ミツヅ</t>
    </rPh>
    <phoneticPr fontId="1"/>
  </si>
  <si>
    <t>カメラの方向とかプレイヤーの方向とかもいろいろありそう</t>
    <rPh sb="4" eb="6">
      <t>ホウコウ</t>
    </rPh>
    <rPh sb="14" eb="16">
      <t>ホウコウ</t>
    </rPh>
    <phoneticPr fontId="1"/>
  </si>
  <si>
    <t>案2</t>
    <rPh sb="0" eb="1">
      <t>アン</t>
    </rPh>
    <phoneticPr fontId="1"/>
  </si>
  <si>
    <t>rayvecとenemyVecの角度を取り、その角度差が小さいところを取る（範囲指定して奥行ってしまうバグをなくす）</t>
    <rPh sb="16" eb="18">
      <t>カクド</t>
    </rPh>
    <rPh sb="19" eb="20">
      <t>ト</t>
    </rPh>
    <rPh sb="24" eb="26">
      <t>カクド</t>
    </rPh>
    <rPh sb="26" eb="27">
      <t>サ</t>
    </rPh>
    <rPh sb="28" eb="29">
      <t>チイ</t>
    </rPh>
    <rPh sb="35" eb="36">
      <t>ト</t>
    </rPh>
    <rPh sb="38" eb="42">
      <t>ハンイシテイ</t>
    </rPh>
    <rPh sb="44" eb="45">
      <t>オク</t>
    </rPh>
    <rPh sb="45" eb="46">
      <t>イ</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</si>
  <si>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</si>
  <si>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</si>
  <si>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</si>
  <si>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</si>
  <si>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</si>
  <si>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</si>
  <si>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</si>
  <si>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</si>
  <si>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</si>
  <si>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</si>
  <si>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</si>
  <si>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</si>
  <si>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</si>
  <si>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次はスポナーの仕組みを作る</t>
    <rPh sb="0" eb="1">
      <t>ツギ</t>
    </rPh>
    <rPh sb="7" eb="9">
      <t>シク</t>
    </rPh>
    <rPh sb="11" eb="12">
      <t>ツク</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</si>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</sst>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5">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SUM(作業工数見積もり!E3:E74)</f>
        <v>183</v>
      </c>
    </row>
    <row r="4" spans="2:5">
      <c r="B4" s="5" t="s">
        <v>6</v>
      </c>
      <c r="C4">
        <f>SUMIF(作業工数見積もり!G3:G22,"完了",作業工数見積もり!E3:E22)</f>
        <v>5</v>
      </c>
      <c r="D4" t="s">
        <v>7</v>
      </c>
    </row>
    <row r="5" spans="2:5">
      <c r="B5" s="6" t="s">
        <v>8</v>
      </c>
      <c r="C5" s="2">
        <f ca="1">NETWORKDAYS(C6,C7)</f>
        <v>436</v>
      </c>
      <c r="D5" s="3">
        <f ca="1" xml:space="preserve"> C4 / C5</f>
        <v>1.1467889908256881E-2</v>
      </c>
    </row>
    <row r="6" spans="2:5">
      <c r="B6" s="7" t="s">
        <v>9</v>
      </c>
      <c r="C6" s="1">
        <f>DATE(2024,11,7)</f>
        <v>45603</v>
      </c>
    </row>
    <row r="7" spans="2:5">
      <c r="B7" s="8" t="s">
        <v>11</v>
      </c>
      <c r="C7" s="1">
        <f ca="1">TODAY()</f>
        <v>46212</v>
      </c>
    </row>
    <row r="9" spans="2:5">
      <c r="D9" t="s">
        <v>12</v>
      </c>
      <c r="E9" t="s">
        <v>13</v>
      </c>
    </row>
    <row r="10" spans="2:5">
      <c r="B10" s="4" t="s">
        <v>15</v>
      </c>
      <c r="C10" s="1">
        <f>DATE(2024,12,20)</f>
        <v>45646</v>
      </c>
      <c r="D10" s="2">
        <f ca="1">NETWORKDAYS(TODAY(),C10)</f>
        <v>-405</v>
      </c>
      <c r="E10" s="3">
        <f ca="1">($C$3 - $C$4) / D10</f>
        <v>-0.43950617283950616</v>
      </c>
    </row>
    <row r="11" spans="2:5">
      <c r="B11" s="9" t="s">
        <v>16</v>
      </c>
      <c r="C11" s="1">
        <f>DATE(2025,1,17)</f>
        <v>45674</v>
      </c>
      <c r="D11" s="2">
        <f ca="1">NETWORKDAYS(TODAY(),C11)</f>
        <v>-385</v>
      </c>
      <c r="E11" s="3">
        <f ca="1">($C$3 - $C$4) / D11</f>
        <v>-0.46233766233766233</v>
      </c>
    </row>
    <row r="12" spans="2:5">
      <c r="B12" s="6" t="s">
        <v>17</v>
      </c>
      <c r="C12" s="1">
        <f>DATE(2025,2,3)</f>
        <v>45691</v>
      </c>
      <c r="D12" s="2">
        <f ca="1">NETWORKDAYS(TODAY(),C12)</f>
        <v>-374</v>
      </c>
      <c r="E12" s="3">
        <f ca="1">($C$3 - $C$4) / D12</f>
        <v>-0.47593582887700536</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5"/>
  <sheetViews>
    <sheetView zoomScale="85" zoomScaleNormal="85" workbookViewId="0">
      <selection activeCell="H11" sqref="H11"/>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39</v>
      </c>
      <c r="I3" s="25" t="s">
        <v>61</v>
      </c>
      <c r="J3" s="10">
        <f>SUM(J4,J5,J6)</f>
        <v>183</v>
      </c>
      <c r="K3" s="10">
        <f>SUMIFS(E3:E53,G3:G53,"未着手")</f>
        <v>131</v>
      </c>
      <c r="L3" s="10">
        <f>SUM(F3:F41)</f>
        <v>27</v>
      </c>
      <c r="M3" s="10">
        <f ca="1">INT(J11 - TODAY())</f>
        <v>53</v>
      </c>
      <c r="N3" s="10">
        <f ca="1">K3/M3</f>
        <v>2.4716981132075473</v>
      </c>
    </row>
    <row r="4" spans="1:14" ht="26.25" hidden="1" customHeight="1">
      <c r="A4" s="17" t="s">
        <v>35</v>
      </c>
      <c r="B4" s="10" t="s">
        <v>48</v>
      </c>
      <c r="C4" s="16" t="s">
        <v>14</v>
      </c>
      <c r="D4" s="16" t="s">
        <v>10</v>
      </c>
      <c r="E4" s="16">
        <v>0</v>
      </c>
      <c r="G4" s="16" t="s">
        <v>39</v>
      </c>
      <c r="I4" s="26" t="s">
        <v>28</v>
      </c>
      <c r="J4" s="29">
        <f>SUMIF(D3:D53,I4,E3:E53)</f>
        <v>90</v>
      </c>
      <c r="K4" s="10">
        <f>SUMIFS(E3:E53,G3:G53,"未着手",D3:D53,I4)</f>
        <v>56</v>
      </c>
      <c r="L4" s="10">
        <f>SUMIFS(F3:F41,D3:D41,I4)</f>
        <v>27</v>
      </c>
      <c r="M4" s="10">
        <f ca="1">INT(J12-TODAY())</f>
        <v>8</v>
      </c>
      <c r="N4" s="10">
        <f ca="1">J4/M4</f>
        <v>11.25</v>
      </c>
    </row>
    <row r="5" spans="1:14" ht="16.5" hidden="1" customHeight="1">
      <c r="A5" s="17" t="s">
        <v>35</v>
      </c>
      <c r="B5" s="10" t="s">
        <v>49</v>
      </c>
      <c r="C5" s="16" t="s">
        <v>14</v>
      </c>
      <c r="D5" s="16" t="s">
        <v>10</v>
      </c>
      <c r="E5" s="16">
        <v>0</v>
      </c>
      <c r="G5" s="16" t="s">
        <v>39</v>
      </c>
      <c r="I5" s="27" t="s">
        <v>0</v>
      </c>
      <c r="J5" s="29">
        <f>SUMIF(D3:D53,I5,E3:E53)</f>
        <v>77</v>
      </c>
      <c r="K5" s="10">
        <f>SUMIFS(E3:E53,G3:G53,"未着手",D3:D53,I5)</f>
        <v>59</v>
      </c>
      <c r="L5" s="10">
        <f>SUMIFS(F4:F45,D4:D45,I5)</f>
        <v>0</v>
      </c>
      <c r="M5" s="10">
        <f t="shared" ref="M5:M6" ca="1" si="0">INT(J13-TODAY())</f>
        <v>32</v>
      </c>
      <c r="N5" s="10">
        <f t="shared" ref="N5:N6" ca="1" si="1">J5/M5</f>
        <v>2.40625</v>
      </c>
    </row>
    <row r="6" spans="1:14" ht="19.5" hidden="1" customHeight="1">
      <c r="A6" s="17" t="s">
        <v>35</v>
      </c>
      <c r="B6" s="10" t="s">
        <v>36</v>
      </c>
      <c r="C6" s="16" t="s">
        <v>14</v>
      </c>
      <c r="D6" s="16" t="s">
        <v>10</v>
      </c>
      <c r="E6" s="16">
        <v>0</v>
      </c>
      <c r="G6" s="16" t="s">
        <v>39</v>
      </c>
      <c r="I6" s="28" t="s">
        <v>29</v>
      </c>
      <c r="J6" s="29">
        <f>SUMIF(D3:D53,I6,E3:E53)</f>
        <v>16</v>
      </c>
      <c r="K6" s="10">
        <f>SUMIFS(E3:E53,G3:G53,"未着手",D3:D53,I6)</f>
        <v>16</v>
      </c>
      <c r="L6" s="10">
        <f>SUMIFS(F5:F45,D5:D45,I6)</f>
        <v>0</v>
      </c>
      <c r="M6" s="10">
        <f t="shared" ca="1" si="0"/>
        <v>49</v>
      </c>
      <c r="N6" s="10">
        <f t="shared" ca="1" si="1"/>
        <v>0.32653061224489793</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G9" s="16" t="s">
        <v>39</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0">
        <v>46265</v>
      </c>
    </row>
    <row r="12" spans="1:14">
      <c r="A12" s="19" t="s">
        <v>44</v>
      </c>
      <c r="B12" s="10" t="s">
        <v>254</v>
      </c>
      <c r="C12" s="16" t="s">
        <v>257</v>
      </c>
      <c r="D12" s="16" t="s">
        <v>18</v>
      </c>
      <c r="E12" s="16">
        <v>12</v>
      </c>
      <c r="G12" s="16" t="s">
        <v>39</v>
      </c>
      <c r="I12" s="10" t="s">
        <v>296</v>
      </c>
      <c r="J12" s="51">
        <v>46220</v>
      </c>
    </row>
    <row r="13" spans="1:14">
      <c r="A13" s="19" t="s">
        <v>44</v>
      </c>
      <c r="B13" s="10" t="s">
        <v>255</v>
      </c>
      <c r="C13" s="16" t="s">
        <v>5</v>
      </c>
      <c r="D13" s="16" t="s">
        <v>18</v>
      </c>
      <c r="E13" s="16">
        <v>1</v>
      </c>
      <c r="F13" s="16">
        <v>1</v>
      </c>
      <c r="G13" s="16" t="s">
        <v>57</v>
      </c>
      <c r="I13" s="10" t="s">
        <v>297</v>
      </c>
      <c r="J13" s="51">
        <v>46244</v>
      </c>
    </row>
    <row r="14" spans="1:14">
      <c r="A14" s="19" t="s">
        <v>44</v>
      </c>
      <c r="B14" s="10" t="s">
        <v>258</v>
      </c>
      <c r="C14" s="16" t="s">
        <v>5</v>
      </c>
      <c r="D14" s="16" t="s">
        <v>18</v>
      </c>
      <c r="E14" s="16">
        <v>2</v>
      </c>
      <c r="G14" s="16" t="s">
        <v>57</v>
      </c>
      <c r="I14" s="10" t="s">
        <v>298</v>
      </c>
      <c r="J14" s="51">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c r="A17" s="19" t="s">
        <v>44</v>
      </c>
      <c r="B17" s="10" t="s">
        <v>307</v>
      </c>
      <c r="C17" s="16" t="s">
        <v>5</v>
      </c>
      <c r="D17" s="16" t="s">
        <v>18</v>
      </c>
      <c r="E17" s="16">
        <v>2</v>
      </c>
      <c r="G17" s="16" t="s">
        <v>39</v>
      </c>
    </row>
    <row r="18" spans="1:7">
      <c r="A18" s="19" t="s">
        <v>44</v>
      </c>
      <c r="B18" s="10" t="s">
        <v>342</v>
      </c>
      <c r="C18" s="16" t="s">
        <v>5</v>
      </c>
      <c r="D18" s="16" t="s">
        <v>18</v>
      </c>
    </row>
    <row r="19" spans="1:7">
      <c r="A19" s="19" t="s">
        <v>44</v>
      </c>
      <c r="B19" s="10" t="s">
        <v>343</v>
      </c>
      <c r="C19" s="16" t="s">
        <v>5</v>
      </c>
      <c r="D19" s="16" t="s">
        <v>18</v>
      </c>
    </row>
    <row r="20" spans="1:7">
      <c r="A20" s="19" t="s">
        <v>44</v>
      </c>
      <c r="B20" s="10" t="s">
        <v>260</v>
      </c>
      <c r="C20" s="16" t="s">
        <v>5</v>
      </c>
      <c r="D20" s="16" t="s">
        <v>18</v>
      </c>
      <c r="E20" s="16">
        <v>8</v>
      </c>
      <c r="G20" s="16" t="s">
        <v>39</v>
      </c>
    </row>
    <row r="21" spans="1:7">
      <c r="A21" s="20" t="s">
        <v>46</v>
      </c>
      <c r="B21" s="10" t="s">
        <v>261</v>
      </c>
      <c r="C21" s="16" t="s">
        <v>5</v>
      </c>
      <c r="D21" s="16" t="s">
        <v>18</v>
      </c>
      <c r="E21" s="16">
        <v>3</v>
      </c>
      <c r="G21" s="16" t="s">
        <v>39</v>
      </c>
    </row>
    <row r="22" spans="1:7">
      <c r="A22" s="20" t="s">
        <v>46</v>
      </c>
      <c r="B22" s="10" t="s">
        <v>262</v>
      </c>
      <c r="C22" s="16" t="s">
        <v>257</v>
      </c>
      <c r="D22" s="16" t="s">
        <v>18</v>
      </c>
      <c r="E22" s="16">
        <v>5</v>
      </c>
      <c r="G22" s="16" t="s">
        <v>39</v>
      </c>
    </row>
    <row r="23" spans="1:7">
      <c r="A23" s="20" t="s">
        <v>46</v>
      </c>
      <c r="B23" s="10" t="s">
        <v>274</v>
      </c>
      <c r="C23" s="16" t="s">
        <v>257</v>
      </c>
      <c r="D23" s="16" t="s">
        <v>18</v>
      </c>
      <c r="E23" s="16">
        <v>6</v>
      </c>
      <c r="G23" s="16" t="s">
        <v>39</v>
      </c>
    </row>
    <row r="24" spans="1:7">
      <c r="A24" s="20" t="s">
        <v>46</v>
      </c>
      <c r="B24" s="10" t="s">
        <v>275</v>
      </c>
      <c r="C24" s="16" t="s">
        <v>5</v>
      </c>
      <c r="D24" s="16" t="s">
        <v>18</v>
      </c>
      <c r="E24" s="16">
        <v>4</v>
      </c>
      <c r="F24" s="16">
        <v>2</v>
      </c>
      <c r="G24" s="16" t="s">
        <v>57</v>
      </c>
    </row>
    <row r="25" spans="1:7">
      <c r="A25" s="20" t="s">
        <v>46</v>
      </c>
      <c r="B25" s="10" t="s">
        <v>308</v>
      </c>
      <c r="C25" s="16" t="s">
        <v>5</v>
      </c>
      <c r="D25" s="16" t="s">
        <v>18</v>
      </c>
      <c r="E25" s="16">
        <v>2</v>
      </c>
      <c r="F25" s="16">
        <v>1</v>
      </c>
      <c r="G25" s="16" t="s">
        <v>57</v>
      </c>
    </row>
    <row r="26" spans="1:7">
      <c r="A26" s="20" t="s">
        <v>46</v>
      </c>
      <c r="B26" s="10" t="s">
        <v>263</v>
      </c>
      <c r="C26" s="16" t="s">
        <v>257</v>
      </c>
      <c r="D26" s="16" t="s">
        <v>18</v>
      </c>
      <c r="E26" s="16">
        <v>8</v>
      </c>
      <c r="G26" s="16" t="s">
        <v>39</v>
      </c>
    </row>
    <row r="27" spans="1:7">
      <c r="A27" s="49" t="s">
        <v>264</v>
      </c>
      <c r="B27" s="10" t="s">
        <v>265</v>
      </c>
      <c r="C27" s="16" t="s">
        <v>5</v>
      </c>
      <c r="D27" s="16" t="s">
        <v>18</v>
      </c>
      <c r="E27" s="16">
        <v>3</v>
      </c>
      <c r="F27" s="16">
        <v>1</v>
      </c>
      <c r="G27" s="16" t="s">
        <v>57</v>
      </c>
    </row>
    <row r="28" spans="1:7">
      <c r="A28" s="49" t="s">
        <v>264</v>
      </c>
      <c r="B28" s="10" t="s">
        <v>266</v>
      </c>
      <c r="C28" s="16" t="s">
        <v>5</v>
      </c>
      <c r="D28" s="16" t="s">
        <v>18</v>
      </c>
      <c r="E28" s="16">
        <v>2</v>
      </c>
      <c r="G28" s="16" t="s">
        <v>39</v>
      </c>
    </row>
    <row r="29" spans="1:7">
      <c r="A29" s="49" t="s">
        <v>264</v>
      </c>
      <c r="B29" s="10" t="s">
        <v>267</v>
      </c>
      <c r="C29" s="16" t="s">
        <v>5</v>
      </c>
      <c r="D29" s="16" t="s">
        <v>18</v>
      </c>
      <c r="E29" s="16">
        <v>1</v>
      </c>
      <c r="F29" s="16">
        <v>1</v>
      </c>
      <c r="G29" s="16" t="s">
        <v>57</v>
      </c>
    </row>
    <row r="30" spans="1:7">
      <c r="A30" s="49" t="s">
        <v>264</v>
      </c>
      <c r="B30" s="10" t="s">
        <v>268</v>
      </c>
      <c r="C30" s="16" t="s">
        <v>5</v>
      </c>
      <c r="D30" s="16" t="s">
        <v>18</v>
      </c>
      <c r="E30" s="16">
        <v>2</v>
      </c>
      <c r="G30" s="16" t="s">
        <v>306</v>
      </c>
    </row>
    <row r="31" spans="1:7">
      <c r="A31" s="49" t="s">
        <v>264</v>
      </c>
      <c r="B31" s="10" t="s">
        <v>269</v>
      </c>
      <c r="C31" s="16" t="s">
        <v>5</v>
      </c>
      <c r="D31" s="16" t="s">
        <v>18</v>
      </c>
      <c r="E31" s="16">
        <v>2</v>
      </c>
      <c r="G31" s="16" t="s">
        <v>39</v>
      </c>
    </row>
    <row r="32" spans="1:7">
      <c r="A32" s="21" t="s">
        <v>40</v>
      </c>
      <c r="B32" s="10" t="s">
        <v>270</v>
      </c>
      <c r="C32" s="16" t="s">
        <v>5</v>
      </c>
      <c r="D32" s="16" t="s">
        <v>18</v>
      </c>
      <c r="E32" s="16">
        <v>2</v>
      </c>
      <c r="G32" s="16" t="s">
        <v>306</v>
      </c>
    </row>
    <row r="33" spans="1:7">
      <c r="A33" s="21" t="s">
        <v>40</v>
      </c>
      <c r="B33" s="10" t="s">
        <v>271</v>
      </c>
      <c r="C33" s="16" t="s">
        <v>257</v>
      </c>
      <c r="D33" s="16" t="s">
        <v>18</v>
      </c>
      <c r="E33" s="16">
        <v>1</v>
      </c>
      <c r="G33" s="16" t="s">
        <v>39</v>
      </c>
    </row>
    <row r="34" spans="1:7">
      <c r="A34" s="21" t="s">
        <v>40</v>
      </c>
      <c r="B34" s="10" t="s">
        <v>291</v>
      </c>
      <c r="C34" s="16" t="s">
        <v>5</v>
      </c>
      <c r="D34" s="16" t="s">
        <v>18</v>
      </c>
      <c r="E34" s="16">
        <v>2</v>
      </c>
      <c r="F34" s="16">
        <v>12</v>
      </c>
      <c r="G34" s="16" t="s">
        <v>57</v>
      </c>
    </row>
    <row r="35" spans="1:7">
      <c r="A35" s="21" t="s">
        <v>40</v>
      </c>
      <c r="B35" s="10" t="s">
        <v>272</v>
      </c>
      <c r="C35" s="16" t="s">
        <v>257</v>
      </c>
      <c r="D35" s="16" t="s">
        <v>18</v>
      </c>
      <c r="E35" s="16">
        <v>3</v>
      </c>
      <c r="G35" s="16" t="s">
        <v>39</v>
      </c>
    </row>
    <row r="36" spans="1:7">
      <c r="A36" s="21" t="s">
        <v>40</v>
      </c>
      <c r="B36" s="10" t="s">
        <v>273</v>
      </c>
      <c r="C36" s="16" t="s">
        <v>257</v>
      </c>
      <c r="D36" s="16" t="s">
        <v>18</v>
      </c>
      <c r="E36" s="16">
        <v>6</v>
      </c>
      <c r="F36" s="16">
        <v>6</v>
      </c>
      <c r="G36" s="16" t="s">
        <v>57</v>
      </c>
    </row>
    <row r="37" spans="1:7">
      <c r="A37" s="22" t="s">
        <v>41</v>
      </c>
      <c r="B37" s="10" t="s">
        <v>276</v>
      </c>
      <c r="C37" s="16" t="s">
        <v>5</v>
      </c>
      <c r="D37" s="16" t="s">
        <v>18</v>
      </c>
      <c r="E37" s="16">
        <v>3</v>
      </c>
      <c r="G37" s="16" t="s">
        <v>306</v>
      </c>
    </row>
    <row r="38" spans="1:7">
      <c r="A38" s="22" t="s">
        <v>41</v>
      </c>
      <c r="B38" s="10" t="s">
        <v>356</v>
      </c>
      <c r="C38" s="16" t="s">
        <v>5</v>
      </c>
      <c r="D38" s="16" t="s">
        <v>18</v>
      </c>
      <c r="E38" s="16">
        <v>1</v>
      </c>
      <c r="F38" s="16">
        <v>1</v>
      </c>
      <c r="G38" s="16" t="s">
        <v>57</v>
      </c>
    </row>
    <row r="39" spans="1:7">
      <c r="A39" s="22" t="s">
        <v>41</v>
      </c>
      <c r="B39" s="10" t="s">
        <v>75</v>
      </c>
      <c r="C39" s="16" t="s">
        <v>5</v>
      </c>
      <c r="D39" s="16" t="s">
        <v>18</v>
      </c>
      <c r="E39" s="16">
        <v>0</v>
      </c>
      <c r="G39" s="16" t="s">
        <v>57</v>
      </c>
    </row>
    <row r="40" spans="1:7" hidden="1">
      <c r="A40" s="23" t="s">
        <v>42</v>
      </c>
      <c r="B40" s="10" t="s">
        <v>278</v>
      </c>
      <c r="D40" s="16" t="s">
        <v>293</v>
      </c>
      <c r="E40" s="16">
        <v>2</v>
      </c>
      <c r="G40" s="16" t="s">
        <v>39</v>
      </c>
    </row>
    <row r="41" spans="1:7" hidden="1">
      <c r="A41" s="23" t="s">
        <v>42</v>
      </c>
      <c r="B41" s="10" t="s">
        <v>279</v>
      </c>
      <c r="C41" s="16" t="s">
        <v>5</v>
      </c>
      <c r="D41" s="16" t="s">
        <v>293</v>
      </c>
      <c r="E41" s="16">
        <v>1</v>
      </c>
      <c r="G41" s="16" t="s">
        <v>39</v>
      </c>
    </row>
    <row r="42" spans="1:7" hidden="1">
      <c r="A42" s="23" t="s">
        <v>42</v>
      </c>
      <c r="B42" s="10" t="s">
        <v>280</v>
      </c>
      <c r="D42" s="16" t="s">
        <v>293</v>
      </c>
      <c r="E42" s="16">
        <v>1</v>
      </c>
      <c r="G42" s="16" t="s">
        <v>39</v>
      </c>
    </row>
    <row r="43" spans="1:7" hidden="1">
      <c r="A43" s="10" t="s">
        <v>277</v>
      </c>
      <c r="B43" s="10" t="s">
        <v>281</v>
      </c>
      <c r="D43" s="16" t="s">
        <v>10</v>
      </c>
      <c r="E43" s="16">
        <v>6</v>
      </c>
      <c r="G43" s="16" t="s">
        <v>39</v>
      </c>
    </row>
    <row r="44" spans="1:7" hidden="1">
      <c r="A44" s="10" t="s">
        <v>277</v>
      </c>
      <c r="B44" s="10" t="s">
        <v>282</v>
      </c>
      <c r="D44" s="16" t="s">
        <v>10</v>
      </c>
      <c r="E44" s="16">
        <v>6</v>
      </c>
      <c r="G44" s="16" t="s">
        <v>39</v>
      </c>
    </row>
    <row r="45" spans="1:7">
      <c r="A45" s="10" t="s">
        <v>277</v>
      </c>
      <c r="B45" s="10" t="s">
        <v>283</v>
      </c>
      <c r="D45" s="16" t="s">
        <v>18</v>
      </c>
      <c r="E45" s="16">
        <v>0</v>
      </c>
      <c r="G45" s="16" t="s">
        <v>39</v>
      </c>
    </row>
    <row r="46" spans="1:7" hidden="1">
      <c r="A46" s="13" t="s">
        <v>38</v>
      </c>
      <c r="B46" s="10" t="s">
        <v>284</v>
      </c>
      <c r="C46" s="16" t="s">
        <v>257</v>
      </c>
      <c r="D46" s="16" t="s">
        <v>10</v>
      </c>
      <c r="E46" s="16">
        <v>1</v>
      </c>
      <c r="G46" s="16" t="s">
        <v>39</v>
      </c>
    </row>
    <row r="47" spans="1:7" hidden="1">
      <c r="A47" s="13" t="s">
        <v>38</v>
      </c>
      <c r="B47" s="10" t="s">
        <v>285</v>
      </c>
      <c r="C47" s="16" t="s">
        <v>5</v>
      </c>
      <c r="D47" s="16" t="s">
        <v>10</v>
      </c>
      <c r="E47" s="16">
        <v>8</v>
      </c>
      <c r="G47" s="16" t="s">
        <v>39</v>
      </c>
    </row>
    <row r="48" spans="1:7" hidden="1">
      <c r="A48" s="13" t="s">
        <v>38</v>
      </c>
      <c r="B48" s="10" t="s">
        <v>286</v>
      </c>
      <c r="C48" s="16" t="s">
        <v>5</v>
      </c>
      <c r="D48" s="16" t="s">
        <v>10</v>
      </c>
      <c r="E48" s="16">
        <v>6</v>
      </c>
      <c r="G48" s="16" t="s">
        <v>39</v>
      </c>
    </row>
    <row r="49" spans="1:7" hidden="1">
      <c r="A49" s="13" t="s">
        <v>38</v>
      </c>
      <c r="B49" s="10" t="s">
        <v>287</v>
      </c>
      <c r="C49" s="16" t="s">
        <v>5</v>
      </c>
      <c r="D49" s="16" t="s">
        <v>10</v>
      </c>
      <c r="E49" s="16">
        <v>8</v>
      </c>
      <c r="G49" s="16" t="s">
        <v>39</v>
      </c>
    </row>
    <row r="50" spans="1:7" hidden="1">
      <c r="A50" s="13" t="s">
        <v>38</v>
      </c>
      <c r="B50" s="10" t="s">
        <v>288</v>
      </c>
      <c r="C50" s="16" t="s">
        <v>5</v>
      </c>
      <c r="D50" s="16" t="s">
        <v>10</v>
      </c>
      <c r="E50" s="16">
        <v>8</v>
      </c>
      <c r="G50" s="16" t="s">
        <v>39</v>
      </c>
    </row>
    <row r="51" spans="1:7" hidden="1">
      <c r="A51" s="13" t="s">
        <v>38</v>
      </c>
      <c r="B51" s="10" t="s">
        <v>289</v>
      </c>
      <c r="C51" s="16" t="s">
        <v>5</v>
      </c>
      <c r="D51" s="16" t="s">
        <v>10</v>
      </c>
      <c r="E51" s="16">
        <v>4</v>
      </c>
      <c r="G51" s="16" t="s">
        <v>39</v>
      </c>
    </row>
    <row r="52" spans="1:7" hidden="1">
      <c r="A52" s="13" t="s">
        <v>38</v>
      </c>
      <c r="B52" s="10" t="s">
        <v>290</v>
      </c>
      <c r="C52" s="16" t="s">
        <v>5</v>
      </c>
      <c r="D52" s="16" t="s">
        <v>10</v>
      </c>
      <c r="E52" s="16">
        <v>12</v>
      </c>
      <c r="G52" s="16" t="s">
        <v>39</v>
      </c>
    </row>
    <row r="53" spans="1:7" hidden="1">
      <c r="A53" s="13" t="s">
        <v>38</v>
      </c>
      <c r="B53" s="10" t="s">
        <v>292</v>
      </c>
      <c r="C53" s="16" t="s">
        <v>5</v>
      </c>
      <c r="D53" s="16" t="s">
        <v>293</v>
      </c>
      <c r="E53" s="16">
        <v>12</v>
      </c>
      <c r="F53" s="10"/>
      <c r="G53" s="16" t="s">
        <v>39</v>
      </c>
    </row>
    <row r="55" spans="1:7">
      <c r="A55" s="10" t="s">
        <v>309</v>
      </c>
      <c r="B55" s="10" t="s">
        <v>310</v>
      </c>
    </row>
  </sheetData>
  <autoFilter ref="B2:G53" xr:uid="{00000000-0001-0000-0000-000000000000}">
    <filterColumn colId="2">
      <filters>
        <filter val="プロト"/>
      </filters>
    </filterColumn>
    <sortState xmlns:xlrd2="http://schemas.microsoft.com/office/spreadsheetml/2017/richdata2" ref="B3:G36">
      <sortCondition ref="B2:B36"/>
    </sortState>
  </autoFilter>
  <phoneticPr fontId="1"/>
  <dataValidations count="3">
    <dataValidation type="list" allowBlank="1" showInputMessage="1" showErrorMessage="1" sqref="D3:D53" xr:uid="{8982FD40-CA4D-4B92-93FE-B37B6B67ACD6}">
      <formula1>"プロト,アルファ,ベータ,マスタ"</formula1>
    </dataValidation>
    <dataValidation type="list" allowBlank="1" showInputMessage="1" showErrorMessage="1" sqref="G3:G53" xr:uid="{E1CFE88F-4F87-4696-BE21-1133C2AEB8C1}">
      <formula1>"未着手,作業中,完了"</formula1>
    </dataValidation>
    <dataValidation type="list" allowBlank="1" showInputMessage="1" showErrorMessage="1" sqref="C3:C53"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19"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357</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358</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64"/>
  <sheetViews>
    <sheetView tabSelected="1" topLeftCell="A50" workbookViewId="0">
      <selection activeCell="C65" sqref="C65"/>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341</v>
      </c>
    </row>
    <row r="44" spans="1:3">
      <c r="C44" t="s">
        <v>344</v>
      </c>
    </row>
    <row r="45" spans="1:3">
      <c r="C45" t="s">
        <v>345</v>
      </c>
    </row>
    <row r="46" spans="1:3">
      <c r="C46" t="s">
        <v>346</v>
      </c>
    </row>
    <row r="47" spans="1:3">
      <c r="C47" t="s">
        <v>347</v>
      </c>
    </row>
    <row r="48" spans="1:3">
      <c r="C48" t="s">
        <v>348</v>
      </c>
    </row>
    <row r="49" spans="1:3">
      <c r="A49" s="1">
        <v>46210</v>
      </c>
      <c r="C49" t="s">
        <v>349</v>
      </c>
    </row>
    <row r="50" spans="1:3">
      <c r="C50" t="s">
        <v>350</v>
      </c>
    </row>
    <row r="52" spans="1:3">
      <c r="A52" s="1">
        <v>46211</v>
      </c>
      <c r="C52" t="s">
        <v>351</v>
      </c>
    </row>
    <row r="53" spans="1:3">
      <c r="C53" t="s">
        <v>352</v>
      </c>
    </row>
    <row r="54" spans="1:3">
      <c r="C54" t="s">
        <v>353</v>
      </c>
    </row>
    <row r="55" spans="1:3">
      <c r="C55" t="s">
        <v>354</v>
      </c>
    </row>
    <row r="56" spans="1:3">
      <c r="C56" t="s">
        <v>355</v>
      </c>
    </row>
    <row r="58" spans="1:3">
      <c r="C58" t="s">
        <v>359</v>
      </c>
    </row>
    <row r="60" spans="1:3">
      <c r="C60" t="s">
        <v>385</v>
      </c>
    </row>
    <row r="61" spans="1:3">
      <c r="C61" t="s">
        <v>386</v>
      </c>
    </row>
    <row r="63" spans="1:3">
      <c r="A63" s="1">
        <v>46212</v>
      </c>
      <c r="C63" t="s">
        <v>387</v>
      </c>
    </row>
    <row r="64" spans="1:3">
      <c r="C64" t="s">
        <v>388</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topLeftCell="A4" workbookViewId="0">
      <selection activeCell="L13" sqref="L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366</v>
      </c>
    </row>
    <row r="3" spans="4:18">
      <c r="D3" t="s">
        <v>360</v>
      </c>
    </row>
    <row r="4" spans="4:18">
      <c r="D4" t="s">
        <v>364</v>
      </c>
      <c r="H4" t="s">
        <v>361</v>
      </c>
    </row>
    <row r="5" spans="4:18">
      <c r="D5" t="s">
        <v>365</v>
      </c>
      <c r="H5" t="s">
        <v>362</v>
      </c>
      <c r="N5" t="s">
        <v>375</v>
      </c>
      <c r="O5" t="s">
        <v>376</v>
      </c>
      <c r="P5" t="s">
        <v>377</v>
      </c>
      <c r="Q5" t="s">
        <v>376</v>
      </c>
      <c r="R5" t="s">
        <v>378</v>
      </c>
    </row>
    <row r="6" spans="4:18">
      <c r="H6" t="s">
        <v>363</v>
      </c>
    </row>
    <row r="9" spans="4:18">
      <c r="D9" t="s">
        <v>367</v>
      </c>
    </row>
    <row r="10" spans="4:18">
      <c r="D10" t="s">
        <v>368</v>
      </c>
      <c r="E10" t="s">
        <v>369</v>
      </c>
      <c r="F10" t="s">
        <v>371</v>
      </c>
      <c r="G10" t="s">
        <v>372</v>
      </c>
      <c r="H10" t="s">
        <v>373</v>
      </c>
      <c r="I10" t="s">
        <v>99</v>
      </c>
      <c r="J10" t="s">
        <v>374</v>
      </c>
      <c r="K10" t="s">
        <v>370</v>
      </c>
    </row>
    <row r="12" spans="4:18">
      <c r="D12" s="54" t="s">
        <v>379</v>
      </c>
      <c r="E12" s="54" t="s">
        <v>380</v>
      </c>
    </row>
    <row r="13" spans="4:18">
      <c r="D13" s="54"/>
      <c r="E13" s="54" t="s">
        <v>381</v>
      </c>
    </row>
    <row r="15" spans="4:18">
      <c r="D15" t="s">
        <v>382</v>
      </c>
      <c r="E15" t="s">
        <v>107</v>
      </c>
      <c r="K15" t="s">
        <v>384</v>
      </c>
    </row>
    <row r="17" spans="14:16">
      <c r="N17" t="s">
        <v>277</v>
      </c>
      <c r="P17" t="s">
        <v>383</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P41"/>
  <sheetViews>
    <sheetView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16">
      <c r="B17" t="s">
        <v>131</v>
      </c>
      <c r="D17" t="s">
        <v>145</v>
      </c>
    </row>
    <row r="18" spans="2:16">
      <c r="B18" t="s">
        <v>340</v>
      </c>
    </row>
    <row r="19" spans="2:16">
      <c r="B19" t="s">
        <v>327</v>
      </c>
    </row>
    <row r="20" spans="2:16">
      <c r="B20" t="s">
        <v>328</v>
      </c>
      <c r="D20" t="s">
        <v>312</v>
      </c>
    </row>
    <row r="21" spans="2:16">
      <c r="B21" t="s">
        <v>329</v>
      </c>
      <c r="D21" t="s">
        <v>313</v>
      </c>
      <c r="E21" t="s">
        <v>314</v>
      </c>
    </row>
    <row r="22" spans="2:16">
      <c r="B22" t="s">
        <v>330</v>
      </c>
      <c r="D22" t="s">
        <v>315</v>
      </c>
      <c r="E22" t="s">
        <v>316</v>
      </c>
    </row>
    <row r="23" spans="2:16">
      <c r="B23" t="s">
        <v>331</v>
      </c>
      <c r="D23" t="s">
        <v>317</v>
      </c>
      <c r="E23" t="s">
        <v>318</v>
      </c>
    </row>
    <row r="25" spans="2:16">
      <c r="B25" s="32"/>
    </row>
    <row r="27" spans="2:16">
      <c r="B27" t="s">
        <v>207</v>
      </c>
      <c r="D27" t="s">
        <v>319</v>
      </c>
    </row>
    <row r="28" spans="2:16">
      <c r="B28" t="s">
        <v>311</v>
      </c>
    </row>
    <row r="29" spans="2:16">
      <c r="D29" t="s">
        <v>320</v>
      </c>
      <c r="H29" t="s">
        <v>324</v>
      </c>
      <c r="O29" t="s">
        <v>325</v>
      </c>
      <c r="P29" t="s">
        <v>326</v>
      </c>
    </row>
    <row r="30" spans="2:16">
      <c r="D30" t="s">
        <v>321</v>
      </c>
    </row>
    <row r="31" spans="2:16">
      <c r="B31" t="s">
        <v>332</v>
      </c>
      <c r="D31" t="s">
        <v>322</v>
      </c>
    </row>
    <row r="33" spans="2:4">
      <c r="B33" t="s">
        <v>333</v>
      </c>
      <c r="D33" t="s">
        <v>323</v>
      </c>
    </row>
    <row r="34" spans="2:4">
      <c r="B34" t="s">
        <v>335</v>
      </c>
    </row>
    <row r="35" spans="2:4">
      <c r="B35" t="s">
        <v>336</v>
      </c>
    </row>
    <row r="36" spans="2:4">
      <c r="B36" t="s">
        <v>334</v>
      </c>
    </row>
    <row r="37" spans="2:4">
      <c r="B37" t="s">
        <v>337</v>
      </c>
    </row>
    <row r="40" spans="2:4">
      <c r="B40" t="s">
        <v>338</v>
      </c>
    </row>
    <row r="41" spans="2:4">
      <c r="B41" t="s">
        <v>339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概要</vt:lpstr>
      <vt:lpstr>作業工数見積もり</vt:lpstr>
      <vt:lpstr>カレンダー</vt:lpstr>
      <vt:lpstr>日記</vt:lpstr>
      <vt:lpstr>Sheet1</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2026-07-09T08:29:23Z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