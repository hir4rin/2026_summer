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tsyts\GitHub\2026_summer\進捗\"/>
    </mc:Choice>
  </mc:AlternateContent>
  <xr:revisionPtr revIDLastSave="0" documentId="13_ncr:1_{079DC6EA-03C0-408D-9A15-AE5FF59074B7}" xr6:coauthVersionLast="47" xr6:coauthVersionMax="47" xr10:uidLastSave="{00000000-0000-0000-0000-000000000000}"/>
  <bookViews>
    <workbookView xWindow="-120" yWindow="-120" windowWidth="38640" windowHeight="21120" firstSheet="1" activeTab="1" xr2:uid="{00000000-000D-0000-FFFF-FFFF00000000}"/>
  </bookViews>
  <sheets>
    <sheet name="概要" sheetId="5" r:id="rId1"/>
    <sheet name="作業工数見積もり" sheetId="1" r:id="rId2"/>
    <sheet name="カレンダー" sheetId="6" r:id="rId3"/>
    <sheet name="日記" sheetId="12" r:id="rId4"/>
    <sheet name="メモ" sheetId="9" r:id="rId5"/>
    <sheet name="雑用" sheetId="10" r:id="rId6"/>
    <sheet name="仕様書①" sheetId="13" r:id="rId7"/>
    <sheet name="仕様書②" sheetId="15" r:id="rId8"/>
    <sheet name="クラス設計" sheetId="14" r:id="rId9"/>
  </sheets>
  <definedNames>
    <definedName name="_xlnm._FilterDatabase" localSheetId="1" hidden="1">作業工数見積もり!$B$2:$G$40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M3" i="1"/>
  <c r="N3" i="1" s="1"/>
  <c r="M6" i="1"/>
  <c r="M5" i="1"/>
  <c r="M4" i="1"/>
  <c r="K6" i="1"/>
  <c r="K5" i="1"/>
  <c r="K4" i="1"/>
  <c r="J6" i="1"/>
  <c r="J5" i="1"/>
  <c r="J4" i="1"/>
  <c r="L5" i="1"/>
  <c r="L6" i="1"/>
  <c r="L4" i="1"/>
  <c r="L3" i="1"/>
  <c r="C3" i="5"/>
  <c r="C4" i="5"/>
  <c r="C6" i="5"/>
  <c r="C7" i="5"/>
  <c r="C5" i="5" s="1"/>
  <c r="C10" i="5"/>
  <c r="D10" i="5"/>
  <c r="C11" i="5"/>
  <c r="D11" i="5"/>
  <c r="C12" i="5"/>
  <c r="D12" i="5"/>
  <c r="N6" i="1" l="1"/>
  <c r="N5" i="1"/>
  <c r="N4" i="1"/>
  <c r="J3" i="1"/>
  <c r="E12" i="5"/>
  <c r="D5" i="5"/>
  <c r="E10" i="5"/>
  <c r="E11" i="5"/>
</calcChain>
</file>

<file path=xl/sharedStrings.xml><?xml version="1.0" encoding="utf-8"?>
<sst xmlns="http://schemas.openxmlformats.org/spreadsheetml/2006/main" count="518" uniqueCount="308">
  <si>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</si>
  <si>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</si>
  <si>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</si>
  <si>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</si>
  <si>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</si>
  <si>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</si>
  <si>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</si>
  <si>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</si>
  <si>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</si>
  <si>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</si>
  <si>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</si>
  <si>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</si>
  <si>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</si>
  <si>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</si>
  <si>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</si>
  <si>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</si>
  <si>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</si>
  <si>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</si>
  <si>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</si>
  <si>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</si>
  <si>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</si>
  <si>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</si>
  <si>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</si>
  <si>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</si>
  <si>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</si>
  <si>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</si>
  <si>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</si>
  <si>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</si>
  <si>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</si>
  <si>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</si>
  <si>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</si>
  <si>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</si>
  <si>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</si>
  <si>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</si>
  <si>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</si>
  <si>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</si>
  <si>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</si>
  <si>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</si>
  <si>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</si>
  <si>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</si>
  <si>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</si>
  <si>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</si>
  <si>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</si>
  <si>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1コスト1時間</t>
    <rPh sb="5" eb="7">
      <t>ジカン</t>
    </rPh>
    <phoneticPr fontId="1"/>
  </si>
  <si>
    <t>プレイヤー</t>
    <phoneticPr fontId="1"/>
  </si>
  <si>
    <t>4/13まで</t>
    <phoneticPr fontId="1"/>
  </si>
  <si>
    <t>敵</t>
    <rPh sb="0" eb="1">
      <t>テキ</t>
    </rPh>
    <phoneticPr fontId="1"/>
  </si>
  <si>
    <t>モデル探し</t>
    <rPh sb="3" eb="4">
      <t>サガ</t>
    </rPh>
    <phoneticPr fontId="1"/>
  </si>
  <si>
    <t>BGM探し</t>
    <rPh sb="3" eb="4">
      <t>サガ</t>
    </rPh>
    <phoneticPr fontId="1"/>
  </si>
  <si>
    <t>SE探し</t>
    <rPh sb="2" eb="3">
      <t>サガ</t>
    </rPh>
    <phoneticPr fontId="1"/>
  </si>
  <si>
    <t>日</t>
    <rPh sb="0" eb="1">
      <t>ニチ</t>
    </rPh>
    <phoneticPr fontId="1"/>
  </si>
  <si>
    <t>月</t>
  </si>
  <si>
    <t>火</t>
  </si>
  <si>
    <t>水</t>
  </si>
  <si>
    <t>木</t>
  </si>
  <si>
    <t>金</t>
  </si>
  <si>
    <t>土</t>
  </si>
  <si>
    <t>完了</t>
  </si>
  <si>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</si>
  <si>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</si>
  <si>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</si>
  <si>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</si>
  <si>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</si>
  <si>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</si>
  <si>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</si>
  <si>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</si>
  <si>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</si>
  <si>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</si>
  <si>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</si>
  <si>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コンボ攻撃</t>
    <rPh sb="3" eb="5">
      <t>コウゲキ</t>
    </rPh>
    <phoneticPr fontId="1"/>
  </si>
  <si>
    <t>カメラの当たり判定</t>
    <rPh sb="4" eb="5">
      <t>ア</t>
    </rPh>
    <rPh sb="7" eb="9">
      <t>ハンテイ</t>
    </rPh>
    <phoneticPr fontId="1"/>
  </si>
  <si>
    <t>攻撃</t>
    <rPh sb="0" eb="2">
      <t>コウゲキ</t>
    </rPh>
    <phoneticPr fontId="1"/>
  </si>
  <si>
    <t>ジャスト回避</t>
    <rPh sb="4" eb="6">
      <t>カイヒ</t>
    </rPh>
    <phoneticPr fontId="1"/>
  </si>
  <si>
    <t>ダッシュ攻撃</t>
    <rPh sb="4" eb="6">
      <t>コウゲキ</t>
    </rPh>
    <phoneticPr fontId="1"/>
  </si>
  <si>
    <t>警戒</t>
    <rPh sb="0" eb="2">
      <t>ケイカイ</t>
    </rPh>
    <phoneticPr fontId="1"/>
  </si>
  <si>
    <t>ステージの当たり判定</t>
    <rPh sb="5" eb="6">
      <t>ア</t>
    </rPh>
    <rPh sb="8" eb="10">
      <t>ハンテイ</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</si>
  <si>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</si>
  <si>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</si>
  <si>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</si>
  <si>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</si>
  <si>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</si>
  <si>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</si>
  <si>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</si>
  <si>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</si>
  <si>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</si>
  <si>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</si>
  <si>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</si>
  <si>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</si>
  <si>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</si>
  <si>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</si>
  <si>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</si>
  <si>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</si>
  <si>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</si>
  <si>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</si>
  <si>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</si>
  <si>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</si>
  <si>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</si>
  <si>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</si>
  <si>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</si>
  <si>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</si>
  <si>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</si>
  <si>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</si>
  <si>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</si>
  <si>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</si>
  <si>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</si>
  <si>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</si>
  <si>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</si>
  <si>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</si>
  <si>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</si>
  <si>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</si>
  <si>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</si>
  <si>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</si>
  <si>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</si>
  <si>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</si>
  <si>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</si>
  <si>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</si>
  <si>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</si>
  <si>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</si>
  <si>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</si>
  <si>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</si>
  <si>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</si>
  <si>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</si>
  <si>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</si>
  <si>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</si>
  <si>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</si>
  <si>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</si>
  <si>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</si>
  <si>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</si>
  <si>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</si>
  <si>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</si>
  <si>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</si>
  <si>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</si>
  <si>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</si>
  <si>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</si>
  <si>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</si>
  <si>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</si>
  <si>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</si>
  <si>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dxLibをForEffeckseerにしないといけない</t>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</si>
  <si>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</si>
  <si>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</si>
  <si>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</si>
  <si>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</si>
  <si>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</si>
  <si>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</si>
  <si>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</si>
  <si>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</si>
  <si>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</si>
  <si>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</si>
  <si>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</si>
  <si>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</si>
  <si>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</si>
  <si>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</si>
  <si>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</si>
  <si>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</si>
  <si>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</si>
  <si>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</si>
  <si>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</si>
  <si>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</si>
  <si>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</si>
  <si>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</si>
  <si>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</si>
  <si>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</si>
  <si>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</si>
  <si>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</si>
  <si>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</si>
  <si>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</si>
  <si>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</si>
  <si>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</si>
  <si>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</si>
  <si>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</si>
  <si>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</si>
  <si>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</si>
  <si>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</si>
  <si>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</si>
  <si>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</si>
  <si>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</si>
  <si>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</si>
  <si>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</si>
  <si>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</si>
  <si>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</si>
  <si>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</si>
  <si>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</si>
  <si>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</si>
  <si>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</si>
  <si>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</si>
  <si>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</si>
  <si>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</si>
  <si>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</si>
  <si>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</si>
  <si>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</si>
  <si>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</si>
  <si>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</si>
  <si>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</si>
  <si>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</si>
  <si>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</si>
  <si>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</si>
  <si>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</si>
  <si>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</si>
  <si>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</si>
  <si>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</si>
  <si>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</si>
  <si>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</si>
  <si>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</si>
  <si>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</si>
  <si>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</si>
  <si>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</si>
  <si>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</si>
  <si>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</si>
  <si>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敵との当たり判定をする</t>
    <rPh sb="0" eb="1">
      <t>テキ</t>
    </rPh>
    <rPh sb="3" eb="4">
      <t>ア</t>
    </rPh>
    <rPh sb="6" eb="8">
      <t>ハンテイ</t>
    </rPh>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</si>
  <si>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</si>
  <si>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</si>
  <si>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</si>
  <si>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</si>
  <si>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</si>
  <si>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</si>
  <si>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</si>
  <si>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</si>
  <si>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</si>
  <si>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</si>
  <si>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</si>
  <si>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</si>
  <si>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</si>
  <si>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</si>
  <si>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</si>
  <si>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</si>
  <si>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</si>
  <si>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</si>
  <si>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</si>
  <si>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</si>
  <si>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</si>
  <si>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</si>
  <si>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</si>
  <si>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</si>
  <si>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</si>
  <si>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</si>
  <si>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</si>
  <si>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</si>
  <si>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</si>
  <si>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</si>
  <si>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</si>
  <si>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</si>
  <si>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</si>
  <si>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</si>
  <si>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</si>
  <si>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</si>
  <si>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</si>
  <si>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</si>
  <si>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</si>
  <si>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</si>
  <si>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raven状態はplayer.cppで書くがplayerStateAttackの時は解除をさせないようにする</t>
    <rPh sb="5" eb="7">
      <t>ジョウタイ</t>
    </rPh>
    <rPh sb="19" eb="20">
      <t>カ</t>
    </rPh>
    <rPh sb="40" eb="41">
      <t>トキ</t>
    </rPh>
    <rPh sb="42" eb="44">
      <t>カイジョ</t>
    </rPh>
    <phoneticPr fontId="1"/>
  </si>
  <si>
    <t>PlayerStateAttackの中でスキルの詳細を書く←管理が面倒だからやっぱり分ける</t>
    <rPh sb="18" eb="19">
      <t>ナカ</t>
    </rPh>
    <rPh sb="24" eb="26">
      <t>ショウサイ</t>
    </rPh>
    <rPh sb="27" eb="28">
      <t>カ</t>
    </rPh>
    <rPh sb="30" eb="32">
      <t>カンリ</t>
    </rPh>
    <rPh sb="33" eb="35">
      <t>メンドウ</t>
    </rPh>
    <rPh sb="42" eb="43">
      <t>ワ</t>
    </rPh>
    <phoneticPr fontId="1"/>
  </si>
  <si>
    <t>↑結局、PlayerStateAttackの中で書いた、また、raven状態はidle,move,run,(Attackの遷移時)にかえる</t>
    <rPh sb="1" eb="3">
      <t>ケッキョク</t>
    </rPh>
    <rPh sb="22" eb="23">
      <t>ナカ</t>
    </rPh>
    <rPh sb="24" eb="25">
      <t>カ</t>
    </rPh>
    <rPh sb="36" eb="38">
      <t>ジョウタイ</t>
    </rPh>
    <rPh sb="61" eb="63">
      <t>センイ</t>
    </rPh>
    <rPh sb="63" eb="64">
      <t>ジ</t>
    </rPh>
    <phoneticPr fontId="1"/>
  </si>
  <si>
    <t>スキルのエフェクト制作</t>
    <rPh sb="9" eb="11">
      <t>セイサク</t>
    </rPh>
    <phoneticPr fontId="1"/>
  </si>
  <si>
    <t>必殺技システム実装</t>
    <rPh sb="0" eb="3">
      <t>ヒッサツワザ</t>
    </rPh>
    <rPh sb="7" eb="9">
      <t>ジッソウ</t>
    </rPh>
    <phoneticPr fontId="1"/>
  </si>
  <si>
    <t>必殺技シェーダー演出実装</t>
    <rPh sb="0" eb="3">
      <t>ヒッサツワザ</t>
    </rPh>
    <rPh sb="8" eb="10">
      <t>エンシュツ</t>
    </rPh>
    <rPh sb="10" eb="12">
      <t>ジッソウ</t>
    </rPh>
    <phoneticPr fontId="1"/>
  </si>
  <si>
    <t>ジャスト回避</t>
    <rPh sb="4" eb="6">
      <t>カイヒ</t>
    </rPh>
    <phoneticPr fontId="1"/>
  </si>
  <si>
    <t>攻撃時の細かい当たり判定の制御</t>
    <rPh sb="0" eb="2">
      <t>コウゲキ</t>
    </rPh>
    <rPh sb="2" eb="3">
      <t>ジ</t>
    </rPh>
    <rPh sb="4" eb="5">
      <t>コマ</t>
    </rPh>
    <rPh sb="7" eb="8">
      <t>ア</t>
    </rPh>
    <rPh sb="10" eb="12">
      <t>ハンテイ</t>
    </rPh>
    <rPh sb="13" eb="15">
      <t>セイギョ</t>
    </rPh>
    <phoneticPr fontId="1"/>
  </si>
  <si>
    <t>空中での攻撃使用制限</t>
    <rPh sb="0" eb="2">
      <t>クウチュウ</t>
    </rPh>
    <rPh sb="4" eb="6">
      <t>コウゲキ</t>
    </rPh>
    <rPh sb="6" eb="8">
      <t>シヨウ</t>
    </rPh>
    <rPh sb="8" eb="10">
      <t>セイゲン</t>
    </rPh>
    <phoneticPr fontId="1"/>
  </si>
  <si>
    <t>ため攻撃実装するか</t>
    <rPh sb="2" eb="4">
      <t>コウゲキ</t>
    </rPh>
    <rPh sb="4" eb="6">
      <t>ジッソウ</t>
    </rPh>
    <phoneticPr fontId="1"/>
  </si>
  <si>
    <t>A</t>
  </si>
  <si>
    <t>剣を持たせる2種(モデル探しも含む)</t>
    <rPh sb="0" eb="1">
      <t>ケン</t>
    </rPh>
    <rPh sb="2" eb="3">
      <t>モ</t>
    </rPh>
    <rPh sb="7" eb="8">
      <t>シュ</t>
    </rPh>
    <rPh sb="12" eb="13">
      <t>サガ</t>
    </rPh>
    <rPh sb="15" eb="16">
      <t>フク</t>
    </rPh>
    <phoneticPr fontId="1"/>
  </si>
  <si>
    <t>鴉状態での追加モデル(モデル探しも含む)</t>
    <rPh sb="0" eb="1">
      <t>カラス</t>
    </rPh>
    <rPh sb="1" eb="3">
      <t>ジョウタイ</t>
    </rPh>
    <rPh sb="5" eb="7">
      <t>ツイカ</t>
    </rPh>
    <phoneticPr fontId="1"/>
  </si>
  <si>
    <t>アニメーション調整</t>
    <rPh sb="7" eb="9">
      <t>チョウセイ</t>
    </rPh>
    <phoneticPr fontId="1"/>
  </si>
  <si>
    <t>モデル、アニメーション</t>
    <phoneticPr fontId="1"/>
  </si>
  <si>
    <t>より詳しい攻撃</t>
    <rPh sb="2" eb="3">
      <t>クワ</t>
    </rPh>
    <rPh sb="5" eb="7">
      <t>コウゲキ</t>
    </rPh>
    <phoneticPr fontId="1"/>
  </si>
  <si>
    <t>2体目作る</t>
    <rPh sb="1" eb="4">
      <t>タイメツク</t>
    </rPh>
    <phoneticPr fontId="1"/>
  </si>
  <si>
    <t>キャラクター</t>
    <phoneticPr fontId="1"/>
  </si>
  <si>
    <t>ヒット時のノックバック</t>
    <rPh sb="3" eb="4">
      <t>ジ</t>
    </rPh>
    <phoneticPr fontId="1"/>
  </si>
  <si>
    <t>死亡判定</t>
    <rPh sb="0" eb="2">
      <t>シボウ</t>
    </rPh>
    <rPh sb="2" eb="4">
      <t>ハンテイ</t>
    </rPh>
    <phoneticPr fontId="1"/>
  </si>
  <si>
    <t>ダメージ処理</t>
    <rPh sb="4" eb="6">
      <t>ショリ</t>
    </rPh>
    <phoneticPr fontId="1"/>
  </si>
  <si>
    <t>タイムスケール</t>
    <phoneticPr fontId="1"/>
  </si>
  <si>
    <t>ヒットストップ</t>
    <phoneticPr fontId="1"/>
  </si>
  <si>
    <t>攻撃時に斜めに傾く奴</t>
    <rPh sb="0" eb="2">
      <t>コウゲキ</t>
    </rPh>
    <rPh sb="2" eb="3">
      <t>ジ</t>
    </rPh>
    <rPh sb="4" eb="5">
      <t>ナナ</t>
    </rPh>
    <rPh sb="7" eb="8">
      <t>カタム</t>
    </rPh>
    <rPh sb="9" eb="10">
      <t>ヤツ</t>
    </rPh>
    <phoneticPr fontId="1"/>
  </si>
  <si>
    <t>攻撃時に少しズームアップするやつ</t>
    <rPh sb="0" eb="3">
      <t>コウゲキジ</t>
    </rPh>
    <rPh sb="4" eb="5">
      <t>スコ</t>
    </rPh>
    <phoneticPr fontId="1"/>
  </si>
  <si>
    <t>なにか演出カメラ</t>
    <rPh sb="3" eb="5">
      <t>エンシュツ</t>
    </rPh>
    <phoneticPr fontId="1"/>
  </si>
  <si>
    <t>ロックオン</t>
    <phoneticPr fontId="1"/>
  </si>
  <si>
    <t>攻撃権のシステム</t>
    <rPh sb="0" eb="3">
      <t>コウゲキケン</t>
    </rPh>
    <phoneticPr fontId="1"/>
  </si>
  <si>
    <t>スポーンシステム</t>
    <phoneticPr fontId="1"/>
  </si>
  <si>
    <t>ステージ制作</t>
    <rPh sb="4" eb="6">
      <t>セイサク</t>
    </rPh>
    <phoneticPr fontId="1"/>
  </si>
  <si>
    <t>エフェクト</t>
    <phoneticPr fontId="1"/>
  </si>
  <si>
    <t>操作説明(コンボ表記、操作ボタン割り当てなど)</t>
    <rPh sb="0" eb="4">
      <t>ソウサセツメイ</t>
    </rPh>
    <rPh sb="8" eb="10">
      <t>ヒョウキ</t>
    </rPh>
    <rPh sb="11" eb="13">
      <t>ソウサ</t>
    </rPh>
    <rPh sb="16" eb="17">
      <t>ワ</t>
    </rPh>
    <rPh sb="18" eb="19">
      <t>ア</t>
    </rPh>
    <phoneticPr fontId="1"/>
  </si>
  <si>
    <t>その他設定で使うやつ</t>
    <rPh sb="2" eb="3">
      <t>タ</t>
    </rPh>
    <rPh sb="3" eb="5">
      <t>セッテイ</t>
    </rPh>
    <rPh sb="6" eb="7">
      <t>ツカ</t>
    </rPh>
    <phoneticPr fontId="1"/>
  </si>
  <si>
    <t>プレイヤーhpなど</t>
    <phoneticPr fontId="1"/>
  </si>
  <si>
    <t>敵が現れるとき、死ぬときのディゾルブ</t>
    <rPh sb="0" eb="1">
      <t>テキ</t>
    </rPh>
    <rPh sb="2" eb="3">
      <t>アラワ</t>
    </rPh>
    <rPh sb="8" eb="9">
      <t>シ</t>
    </rPh>
    <phoneticPr fontId="1"/>
  </si>
  <si>
    <t>技のエフェクト</t>
    <rPh sb="0" eb="1">
      <t>ワザ</t>
    </rPh>
    <phoneticPr fontId="1"/>
  </si>
  <si>
    <t>その他なにかあれば</t>
    <rPh sb="2" eb="3">
      <t>タ</t>
    </rPh>
    <phoneticPr fontId="1"/>
  </si>
  <si>
    <t>回復アイテム</t>
    <rPh sb="0" eb="2">
      <t>カイフク</t>
    </rPh>
    <phoneticPr fontId="1"/>
  </si>
  <si>
    <t>タイトルシーン制作</t>
    <rPh sb="7" eb="9">
      <t>セイサク</t>
    </rPh>
    <phoneticPr fontId="1"/>
  </si>
  <si>
    <t>オプションシーン制作</t>
    <rPh sb="8" eb="10">
      <t>セイサク</t>
    </rPh>
    <phoneticPr fontId="1"/>
  </si>
  <si>
    <t>ステージセレクトシーン制作</t>
    <rPh sb="11" eb="13">
      <t>セイサク</t>
    </rPh>
    <phoneticPr fontId="1"/>
  </si>
  <si>
    <t>リザルトシーン制作</t>
    <rPh sb="7" eb="9">
      <t>セイサク</t>
    </rPh>
    <phoneticPr fontId="1"/>
  </si>
  <si>
    <t>ゲームオーバーシーン制作</t>
    <rPh sb="10" eb="12">
      <t>セイサク</t>
    </rPh>
    <phoneticPr fontId="1"/>
  </si>
  <si>
    <t>チュートリアル制作</t>
    <rPh sb="7" eb="9">
      <t>セイサク</t>
    </rPh>
    <phoneticPr fontId="1"/>
  </si>
  <si>
    <t>カメラシステム</t>
    <phoneticPr fontId="1"/>
  </si>
  <si>
    <t>BGM,SE、ボイスいれ</t>
    <phoneticPr fontId="1"/>
  </si>
  <si>
    <t>ベータ</t>
  </si>
  <si>
    <t>残り日数</t>
    <rPh sb="0" eb="1">
      <t>ノコ</t>
    </rPh>
    <rPh sb="2" eb="4">
      <t>ニッスウ</t>
    </rPh>
    <phoneticPr fontId="1"/>
  </si>
  <si>
    <t>締め切り</t>
    <rPh sb="0" eb="1">
      <t>シ</t>
    </rPh>
    <rPh sb="2" eb="3">
      <t>キ</t>
    </rPh>
    <phoneticPr fontId="1"/>
  </si>
  <si>
    <t>プロト締め切り</t>
    <rPh sb="3" eb="4">
      <t>シ</t>
    </rPh>
    <rPh sb="5" eb="6">
      <t>キ</t>
    </rPh>
    <phoneticPr fontId="1"/>
  </si>
  <si>
    <t>アルファ締め切り</t>
    <rPh sb="4" eb="5">
      <t>シ</t>
    </rPh>
    <rPh sb="6" eb="7">
      <t>キ</t>
    </rPh>
    <phoneticPr fontId="1"/>
  </si>
  <si>
    <t>ベータ締め切り</t>
    <rPh sb="3" eb="4">
      <t>シ</t>
    </rPh>
    <rPh sb="5" eb="6">
      <t>キ</t>
    </rPh>
    <phoneticPr fontId="1"/>
  </si>
  <si>
    <t>1日当たりのコスト</t>
    <rPh sb="1" eb="3">
      <t>ニチア</t>
    </rPh>
    <phoneticPr fontId="1"/>
  </si>
  <si>
    <t>今日はノックバックをする</t>
    <rPh sb="0" eb="2">
      <t>キョウ</t>
    </rPh>
    <phoneticPr fontId="1"/>
  </si>
  <si>
    <t>①背景(赤色に)</t>
    <rPh sb="1" eb="3">
      <t>ハイケイ</t>
    </rPh>
    <rPh sb="4" eb="6">
      <t>アカイロ</t>
    </rPh>
    <phoneticPr fontId="1"/>
  </si>
  <si>
    <t>②エフェクトを描画(白色に)</t>
    <rPh sb="7" eb="9">
      <t>ビョウガ</t>
    </rPh>
    <rPh sb="10" eb="12">
      <t>シロイロ</t>
    </rPh>
    <phoneticPr fontId="1"/>
  </si>
  <si>
    <t>ノックバック終わったので、必殺技の演出を作る</t>
    <rPh sb="6" eb="7">
      <t>オ</t>
    </rPh>
    <rPh sb="13" eb="16">
      <t>ヒッサツワザ</t>
    </rPh>
    <rPh sb="17" eb="19">
      <t>エンシュツ</t>
    </rPh>
    <rPh sb="20" eb="21">
      <t>ツク</t>
    </rPh>
    <phoneticPr fontId="1"/>
  </si>
  <si>
    <t>必殺技のレンダーターゲットを分けて、マップを赤くしたところ、けっこういい感じだから次は剣のエフェクトをとりあえず作って出す</t>
    <rPh sb="0" eb="3">
      <t>ヒッサツワザ</t>
    </rPh>
    <rPh sb="14" eb="15">
      <t>ワ</t>
    </rPh>
    <rPh sb="22" eb="23">
      <t>アカ</t>
    </rPh>
    <rPh sb="36" eb="37">
      <t>カン</t>
    </rPh>
    <rPh sb="41" eb="42">
      <t>ツギ</t>
    </rPh>
    <rPh sb="43" eb="44">
      <t>ケン</t>
    </rPh>
    <rPh sb="56" eb="57">
      <t>ツク</t>
    </rPh>
    <rPh sb="59" eb="60">
      <t>ダ</t>
    </rPh>
    <phoneticPr fontId="1"/>
  </si>
  <si>
    <t>そのあと、血殺の文字を入れて、完成させる、エフェクトは先輩に聞いて一緒に作る</t>
    <rPh sb="5" eb="6">
      <t>チ</t>
    </rPh>
    <rPh sb="6" eb="7">
      <t>コロ</t>
    </rPh>
    <rPh sb="8" eb="10">
      <t>モジ</t>
    </rPh>
    <rPh sb="11" eb="12">
      <t>イ</t>
    </rPh>
    <rPh sb="15" eb="17">
      <t>カンセイ</t>
    </rPh>
    <rPh sb="27" eb="29">
      <t>センパイ</t>
    </rPh>
    <rPh sb="30" eb="31">
      <t>キ</t>
    </rPh>
    <rPh sb="33" eb="35">
      <t>イッショ</t>
    </rPh>
    <rPh sb="36" eb="37">
      <t>ツク</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</si>
</sst>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7">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s>
  <fills count="28">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0" tint="-0.34998626667073579"/>
        <bgColor indexed="64"/>
      </patternFill>
    </fill>
    <fill>
      <patternFill patternType="solid">
        <fgColor theme="4" tint="0.59999389629810485"/>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4">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0" xfId="0" applyFill="1"/>
    <xf numFmtId="0" fontId="0" fillId="25"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26" borderId="2" xfId="0" applyFill="1" applyBorder="1"/>
    <xf numFmtId="0" fontId="0" fillId="27" borderId="2" xfId="0" applyFill="1" applyBorder="1"/>
    <xf numFmtId="14" fontId="0" fillId="10" borderId="2" xfId="0" applyNumberFormat="1" applyFill="1" applyBorder="1"/>
    <xf numFmtId="56" fontId="0" fillId="10" borderId="2" xfId="0" applyNumberFormat="1" applyFill="1" applyBorder="1"/>
    <xf numFmtId="0" fontId="0" fillId="10" borderId="2" xfId="0" applyNumberFormat="1" applyFill="1" applyBorder="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workbookViewId="0">
      <selection activeCell="C9" sqref="C9"/>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SUM(作業工数見積もり!E3:E69)</f>
        <v>179</v>
      </c>
    </row>
    <row r="4" spans="2:5">
      <c r="B4" s="5" t="s">
        <v>6</v>
      </c>
      <c r="C4">
        <f>SUMIF(作業工数見積もり!G3:G19,"完了",作業工数見積もり!E3:E19)</f>
        <v>0</v>
      </c>
      <c r="D4" t="s">
        <v>7</v>
      </c>
    </row>
    <row r="5" spans="2:5">
      <c r="B5" s="6" t="s">
        <v>8</v>
      </c>
      <c r="C5" s="2">
        <f ca="1">NETWORKDAYS(C6,C7)</f>
        <v>430</v>
      </c>
      <c r="D5" s="3">
        <f ca="1" xml:space="preserve"> C4 / C5</f>
        <v>0</v>
      </c>
    </row>
    <row r="6" spans="2:5">
      <c r="B6" s="7" t="s">
        <v>9</v>
      </c>
      <c r="C6" s="1">
        <f>DATE(2024,11,7)</f>
        <v>45603</v>
      </c>
    </row>
    <row r="7" spans="2:5">
      <c r="B7" s="8" t="s">
        <v>11</v>
      </c>
      <c r="C7" s="1">
        <f ca="1">TODAY()</f>
        <v>46204</v>
      </c>
    </row>
    <row r="9" spans="2:5">
      <c r="D9" t="s">
        <v>12</v>
      </c>
      <c r="E9" t="s">
        <v>13</v>
      </c>
    </row>
    <row r="10" spans="2:5">
      <c r="B10" s="4" t="s">
        <v>15</v>
      </c>
      <c r="C10" s="1">
        <f>DATE(2024,12,20)</f>
        <v>45646</v>
      </c>
      <c r="D10" s="2">
        <f ca="1">NETWORKDAYS(TODAY(),C10)</f>
        <v>-399</v>
      </c>
      <c r="E10" s="3">
        <f ca="1">($C$3 - $C$4) / D10</f>
        <v>-0.44862155388471175</v>
      </c>
    </row>
    <row r="11" spans="2:5">
      <c r="B11" s="9" t="s">
        <v>16</v>
      </c>
      <c r="C11" s="1">
        <f>DATE(2025,1,17)</f>
        <v>45674</v>
      </c>
      <c r="D11" s="2">
        <f ca="1">NETWORKDAYS(TODAY(),C11)</f>
        <v>-379</v>
      </c>
      <c r="E11" s="3">
        <f ca="1">($C$3 - $C$4) / D11</f>
        <v>-0.47229551451187335</v>
      </c>
    </row>
    <row r="12" spans="2:5">
      <c r="B12" s="6" t="s">
        <v>17</v>
      </c>
      <c r="C12" s="1">
        <f>DATE(2025,2,3)</f>
        <v>45691</v>
      </c>
      <c r="D12" s="2">
        <f ca="1">NETWORKDAYS(TODAY(),C12)</f>
        <v>-368</v>
      </c>
      <c r="E12" s="3">
        <f ca="1">($C$3 - $C$4) / D12</f>
        <v>-0.48641304347826086</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48"/>
  <sheetViews>
    <sheetView tabSelected="1" zoomScale="85" zoomScaleNormal="85" workbookViewId="0">
      <selection activeCell="O3" sqref="O3"/>
    </sheetView>
  </sheetViews>
  <sheetFormatPr defaultRowHeight="18.75" outlineLevelRow="1"/>
  <cols>
    <col min="1" max="1" width="69.625" style="10" bestFit="1" customWidth="1"/>
    <col min="2" max="2" width="42.625" style="10" bestFit="1" customWidth="1"/>
    <col min="3" max="3" width="15.375" style="16" bestFit="1" customWidth="1"/>
    <col min="4" max="4" width="19.25" style="16" bestFit="1" customWidth="1"/>
    <col min="5" max="6" width="17.125" style="16" bestFit="1" customWidth="1"/>
    <col min="7" max="7" width="19.25" style="16" bestFit="1" customWidth="1"/>
    <col min="8" max="8" width="9" style="10"/>
    <col min="9" max="9" width="18.125" style="10" bestFit="1" customWidth="1"/>
    <col min="10" max="11" width="11.5" style="10" bestFit="1" customWidth="1"/>
    <col min="12" max="12" width="9.5" style="10" bestFit="1" customWidth="1"/>
    <col min="13" max="13" width="9" style="10"/>
    <col min="14" max="14" width="9.625" style="10" bestFit="1" customWidth="1"/>
    <col min="15" max="15" width="9" style="11"/>
    <col min="16" max="16384" width="9" style="10"/>
  </cols>
  <sheetData>
    <row r="1" spans="1:14">
      <c r="A1" s="10" t="s">
        <v>43</v>
      </c>
      <c r="B1" s="10" t="s">
        <v>45</v>
      </c>
    </row>
    <row r="2" spans="1:14">
      <c r="A2" s="14" t="s">
        <v>31</v>
      </c>
      <c r="B2" s="14" t="s">
        <v>32</v>
      </c>
      <c r="C2" s="15" t="s">
        <v>1</v>
      </c>
      <c r="D2" s="15" t="s">
        <v>2</v>
      </c>
      <c r="E2" s="15" t="s">
        <v>33</v>
      </c>
      <c r="F2" s="15" t="s">
        <v>3</v>
      </c>
      <c r="G2" s="15" t="s">
        <v>34</v>
      </c>
      <c r="J2" s="10" t="s">
        <v>59</v>
      </c>
      <c r="K2" s="10" t="s">
        <v>60</v>
      </c>
      <c r="L2" s="10" t="s">
        <v>58</v>
      </c>
      <c r="M2" s="10" t="s">
        <v>296</v>
      </c>
      <c r="N2" s="10" t="s">
        <v>301</v>
      </c>
    </row>
    <row r="3" spans="1:14">
      <c r="A3" s="17" t="s">
        <v>35</v>
      </c>
      <c r="B3" s="10" t="s">
        <v>47</v>
      </c>
      <c r="C3" s="16" t="s">
        <v>5</v>
      </c>
      <c r="D3" s="16" t="s">
        <v>18</v>
      </c>
      <c r="E3" s="16">
        <v>0</v>
      </c>
      <c r="G3" s="16" t="s">
        <v>39</v>
      </c>
      <c r="I3" s="25" t="s">
        <v>61</v>
      </c>
      <c r="J3" s="10">
        <f>SUM(J4,J5,J6)</f>
        <v>179</v>
      </c>
      <c r="K3" s="10">
        <f>SUMIFS(E3:E48,G3:G48,"未着手")</f>
        <v>176</v>
      </c>
      <c r="L3" s="10">
        <f>SUM(F3:F36)</f>
        <v>1</v>
      </c>
      <c r="M3" s="10">
        <f ca="1">INT(J11 - TODAY())</f>
        <v>61</v>
      </c>
      <c r="N3" s="53">
        <f ca="1">K3/M3</f>
        <v>2.8852459016393444</v>
      </c>
    </row>
    <row r="4" spans="1:14">
      <c r="A4" s="17" t="s">
        <v>35</v>
      </c>
      <c r="B4" s="10" t="s">
        <v>48</v>
      </c>
      <c r="C4" s="16" t="s">
        <v>14</v>
      </c>
      <c r="D4" s="16" t="s">
        <v>10</v>
      </c>
      <c r="E4" s="16">
        <v>0</v>
      </c>
      <c r="G4" s="16" t="s">
        <v>39</v>
      </c>
      <c r="I4" s="26" t="s">
        <v>28</v>
      </c>
      <c r="J4" s="29">
        <f>SUMIF(D3:D48,I4,E3:E48)</f>
        <v>104</v>
      </c>
      <c r="K4" s="10">
        <f>SUMIFS(E3:E48,G3:G48,"未着手",D3:D48,I4)</f>
        <v>101</v>
      </c>
      <c r="L4" s="10">
        <f>SUMIFS(F3:F36,D3:D36,I4)</f>
        <v>1</v>
      </c>
      <c r="M4" s="10">
        <f ca="1">INT(J12-TODAY())</f>
        <v>16</v>
      </c>
      <c r="N4" s="10">
        <f ca="1">J4/M4</f>
        <v>6.5</v>
      </c>
    </row>
    <row r="5" spans="1:14">
      <c r="A5" s="17" t="s">
        <v>35</v>
      </c>
      <c r="B5" s="10" t="s">
        <v>49</v>
      </c>
      <c r="C5" s="16" t="s">
        <v>14</v>
      </c>
      <c r="D5" s="16" t="s">
        <v>10</v>
      </c>
      <c r="E5" s="16">
        <v>0</v>
      </c>
      <c r="G5" s="16" t="s">
        <v>39</v>
      </c>
      <c r="I5" s="27" t="s">
        <v>0</v>
      </c>
      <c r="J5" s="29">
        <f>SUMIF(D3:D48,I5,E3:E48)</f>
        <v>59</v>
      </c>
      <c r="K5" s="10">
        <f>SUMIFS(E3:E48,G3:G48,"未着手",D3:D48,I5)</f>
        <v>59</v>
      </c>
      <c r="L5" s="10">
        <f>SUMIFS(F4:F40,D4:D40,I5)</f>
        <v>0</v>
      </c>
      <c r="M5" s="10">
        <f t="shared" ref="M5:M6" ca="1" si="0">INT(J13-TODAY())</f>
        <v>40</v>
      </c>
      <c r="N5" s="10">
        <f t="shared" ref="N5:N6" ca="1" si="1">J5/M5</f>
        <v>1.4750000000000001</v>
      </c>
    </row>
    <row r="6" spans="1:14">
      <c r="A6" s="17" t="s">
        <v>35</v>
      </c>
      <c r="B6" s="10" t="s">
        <v>36</v>
      </c>
      <c r="C6" s="16" t="s">
        <v>14</v>
      </c>
      <c r="D6" s="16" t="s">
        <v>10</v>
      </c>
      <c r="E6" s="16">
        <v>0</v>
      </c>
      <c r="G6" s="16" t="s">
        <v>39</v>
      </c>
      <c r="I6" s="28" t="s">
        <v>29</v>
      </c>
      <c r="J6" s="29">
        <f>SUMIF(D3:D48,I6,E3:E48)</f>
        <v>16</v>
      </c>
      <c r="K6" s="10">
        <f>SUMIFS(E3:E48,G3:G48,"未着手",D3:D48,I6)</f>
        <v>16</v>
      </c>
      <c r="L6" s="10">
        <f>SUMIFS(F5:F40,D5:D40,I6)</f>
        <v>0</v>
      </c>
      <c r="M6" s="10">
        <f t="shared" ca="1" si="0"/>
        <v>57</v>
      </c>
      <c r="N6" s="10">
        <f t="shared" ca="1" si="1"/>
        <v>0.2807017543859649</v>
      </c>
    </row>
    <row r="7" spans="1:14">
      <c r="A7" s="18" t="s">
        <v>37</v>
      </c>
      <c r="B7" s="10" t="s">
        <v>70</v>
      </c>
      <c r="C7" s="16" t="s">
        <v>5</v>
      </c>
      <c r="D7" s="16" t="s">
        <v>18</v>
      </c>
      <c r="E7" s="16">
        <v>3</v>
      </c>
      <c r="G7" s="16" t="s">
        <v>39</v>
      </c>
    </row>
    <row r="8" spans="1:14" outlineLevel="1">
      <c r="A8" s="19" t="s">
        <v>44</v>
      </c>
      <c r="B8" s="10" t="s">
        <v>252</v>
      </c>
      <c r="C8" s="16" t="s">
        <v>5</v>
      </c>
      <c r="D8" s="16" t="s">
        <v>18</v>
      </c>
      <c r="E8" s="16">
        <v>6</v>
      </c>
      <c r="G8" s="16" t="s">
        <v>39</v>
      </c>
    </row>
    <row r="9" spans="1:14" outlineLevel="1">
      <c r="A9" s="19" t="s">
        <v>44</v>
      </c>
      <c r="B9" s="10" t="s">
        <v>253</v>
      </c>
      <c r="C9" s="16" t="s">
        <v>5</v>
      </c>
      <c r="D9" s="16" t="s">
        <v>18</v>
      </c>
      <c r="E9" s="16">
        <v>2</v>
      </c>
      <c r="G9" s="16" t="s">
        <v>39</v>
      </c>
    </row>
    <row r="10" spans="1:14" outlineLevel="1">
      <c r="A10" s="19" t="s">
        <v>44</v>
      </c>
      <c r="B10" s="10" t="s">
        <v>254</v>
      </c>
      <c r="C10" s="16" t="s">
        <v>5</v>
      </c>
      <c r="D10" s="16" t="s">
        <v>18</v>
      </c>
      <c r="E10" s="16">
        <v>12</v>
      </c>
      <c r="G10" s="16" t="s">
        <v>39</v>
      </c>
      <c r="I10" s="19" t="s">
        <v>296</v>
      </c>
    </row>
    <row r="11" spans="1:14" outlineLevel="1">
      <c r="A11" s="19" t="s">
        <v>44</v>
      </c>
      <c r="B11" s="10" t="s">
        <v>255</v>
      </c>
      <c r="C11" s="16" t="s">
        <v>259</v>
      </c>
      <c r="D11" s="16" t="s">
        <v>18</v>
      </c>
      <c r="E11" s="16">
        <v>3</v>
      </c>
      <c r="G11" s="16" t="s">
        <v>39</v>
      </c>
      <c r="I11" s="10" t="s">
        <v>297</v>
      </c>
      <c r="J11" s="51">
        <v>46265</v>
      </c>
    </row>
    <row r="12" spans="1:14">
      <c r="A12" s="19" t="s">
        <v>44</v>
      </c>
      <c r="B12" s="10" t="s">
        <v>256</v>
      </c>
      <c r="C12" s="16" t="s">
        <v>259</v>
      </c>
      <c r="D12" s="16" t="s">
        <v>18</v>
      </c>
      <c r="E12" s="16">
        <v>12</v>
      </c>
      <c r="G12" s="16" t="s">
        <v>39</v>
      </c>
      <c r="I12" s="10" t="s">
        <v>298</v>
      </c>
      <c r="J12" s="52">
        <v>46220</v>
      </c>
    </row>
    <row r="13" spans="1:14">
      <c r="A13" s="19" t="s">
        <v>44</v>
      </c>
      <c r="B13" s="10" t="s">
        <v>257</v>
      </c>
      <c r="C13" s="16" t="s">
        <v>5</v>
      </c>
      <c r="D13" s="16" t="s">
        <v>18</v>
      </c>
      <c r="E13" s="16">
        <v>1</v>
      </c>
      <c r="G13" s="16" t="s">
        <v>39</v>
      </c>
      <c r="I13" s="10" t="s">
        <v>299</v>
      </c>
      <c r="J13" s="52">
        <v>46244</v>
      </c>
    </row>
    <row r="14" spans="1:14">
      <c r="A14" s="19" t="s">
        <v>44</v>
      </c>
      <c r="B14" s="10" t="s">
        <v>260</v>
      </c>
      <c r="C14" s="16" t="s">
        <v>5</v>
      </c>
      <c r="D14" s="16" t="s">
        <v>18</v>
      </c>
      <c r="E14" s="16">
        <v>2</v>
      </c>
      <c r="G14" s="16" t="s">
        <v>39</v>
      </c>
      <c r="I14" s="10" t="s">
        <v>300</v>
      </c>
      <c r="J14" s="52">
        <v>46261</v>
      </c>
    </row>
    <row r="15" spans="1:14">
      <c r="A15" s="19" t="s">
        <v>44</v>
      </c>
      <c r="B15" s="10" t="s">
        <v>261</v>
      </c>
      <c r="C15" s="16" t="s">
        <v>5</v>
      </c>
      <c r="D15" s="16" t="s">
        <v>18</v>
      </c>
      <c r="E15" s="16">
        <v>2</v>
      </c>
      <c r="G15" s="16" t="s">
        <v>39</v>
      </c>
    </row>
    <row r="16" spans="1:14">
      <c r="A16" s="19" t="s">
        <v>44</v>
      </c>
      <c r="B16" s="10" t="s">
        <v>258</v>
      </c>
      <c r="C16" s="16" t="s">
        <v>14</v>
      </c>
      <c r="D16" s="16" t="s">
        <v>18</v>
      </c>
      <c r="G16" s="16" t="s">
        <v>39</v>
      </c>
    </row>
    <row r="17" spans="1:7">
      <c r="A17" s="19" t="s">
        <v>44</v>
      </c>
      <c r="B17" s="10" t="s">
        <v>262</v>
      </c>
      <c r="C17" s="16" t="s">
        <v>5</v>
      </c>
      <c r="D17" s="16" t="s">
        <v>18</v>
      </c>
      <c r="E17" s="16">
        <v>8</v>
      </c>
      <c r="G17" s="16" t="s">
        <v>39</v>
      </c>
    </row>
    <row r="18" spans="1:7">
      <c r="A18" s="20" t="s">
        <v>46</v>
      </c>
      <c r="B18" s="10" t="s">
        <v>263</v>
      </c>
      <c r="C18" s="16" t="s">
        <v>5</v>
      </c>
      <c r="D18" s="16" t="s">
        <v>18</v>
      </c>
      <c r="E18" s="16">
        <v>3</v>
      </c>
      <c r="G18" s="16" t="s">
        <v>39</v>
      </c>
    </row>
    <row r="19" spans="1:7">
      <c r="A19" s="20" t="s">
        <v>46</v>
      </c>
      <c r="B19" s="10" t="s">
        <v>264</v>
      </c>
      <c r="C19" s="16" t="s">
        <v>259</v>
      </c>
      <c r="D19" s="16" t="s">
        <v>18</v>
      </c>
      <c r="E19" s="16">
        <v>5</v>
      </c>
      <c r="G19" s="16" t="s">
        <v>39</v>
      </c>
    </row>
    <row r="20" spans="1:7">
      <c r="A20" s="20" t="s">
        <v>46</v>
      </c>
      <c r="B20" s="10" t="s">
        <v>276</v>
      </c>
      <c r="C20" s="16" t="s">
        <v>259</v>
      </c>
      <c r="D20" s="16" t="s">
        <v>18</v>
      </c>
      <c r="E20" s="16">
        <v>6</v>
      </c>
      <c r="G20" s="16" t="s">
        <v>39</v>
      </c>
    </row>
    <row r="21" spans="1:7">
      <c r="A21" s="20" t="s">
        <v>46</v>
      </c>
      <c r="B21" s="10" t="s">
        <v>277</v>
      </c>
      <c r="C21" s="16" t="s">
        <v>5</v>
      </c>
      <c r="D21" s="16" t="s">
        <v>18</v>
      </c>
      <c r="E21" s="16">
        <v>4</v>
      </c>
      <c r="G21" s="16" t="s">
        <v>39</v>
      </c>
    </row>
    <row r="22" spans="1:7">
      <c r="A22" s="20" t="s">
        <v>46</v>
      </c>
      <c r="B22" s="10" t="s">
        <v>265</v>
      </c>
      <c r="C22" s="16" t="s">
        <v>259</v>
      </c>
      <c r="D22" s="16" t="s">
        <v>18</v>
      </c>
      <c r="E22" s="16">
        <v>8</v>
      </c>
      <c r="G22" s="16" t="s">
        <v>39</v>
      </c>
    </row>
    <row r="23" spans="1:7">
      <c r="A23" s="50" t="s">
        <v>266</v>
      </c>
      <c r="B23" s="10" t="s">
        <v>267</v>
      </c>
      <c r="C23" s="16" t="s">
        <v>5</v>
      </c>
      <c r="D23" s="16" t="s">
        <v>18</v>
      </c>
      <c r="E23" s="16">
        <v>3</v>
      </c>
      <c r="F23" s="16">
        <v>1</v>
      </c>
      <c r="G23" s="16" t="s">
        <v>57</v>
      </c>
    </row>
    <row r="24" spans="1:7">
      <c r="A24" s="50" t="s">
        <v>266</v>
      </c>
      <c r="B24" s="10" t="s">
        <v>268</v>
      </c>
      <c r="C24" s="16" t="s">
        <v>5</v>
      </c>
      <c r="D24" s="16" t="s">
        <v>18</v>
      </c>
      <c r="E24" s="16">
        <v>2</v>
      </c>
      <c r="G24" s="16" t="s">
        <v>39</v>
      </c>
    </row>
    <row r="25" spans="1:7">
      <c r="A25" s="50" t="s">
        <v>266</v>
      </c>
      <c r="B25" s="10" t="s">
        <v>269</v>
      </c>
      <c r="C25" s="16" t="s">
        <v>5</v>
      </c>
      <c r="D25" s="16" t="s">
        <v>18</v>
      </c>
      <c r="E25" s="16">
        <v>1</v>
      </c>
      <c r="G25" s="16" t="s">
        <v>39</v>
      </c>
    </row>
    <row r="26" spans="1:7">
      <c r="A26" s="50" t="s">
        <v>266</v>
      </c>
      <c r="B26" s="10" t="s">
        <v>270</v>
      </c>
      <c r="C26" s="16" t="s">
        <v>5</v>
      </c>
      <c r="D26" s="16" t="s">
        <v>18</v>
      </c>
      <c r="E26" s="16">
        <v>2</v>
      </c>
      <c r="G26" s="16" t="s">
        <v>39</v>
      </c>
    </row>
    <row r="27" spans="1:7">
      <c r="A27" s="50" t="s">
        <v>266</v>
      </c>
      <c r="B27" s="10" t="s">
        <v>271</v>
      </c>
      <c r="C27" s="16" t="s">
        <v>5</v>
      </c>
      <c r="D27" s="16" t="s">
        <v>18</v>
      </c>
      <c r="E27" s="16">
        <v>2</v>
      </c>
      <c r="G27" s="16" t="s">
        <v>39</v>
      </c>
    </row>
    <row r="28" spans="1:7">
      <c r="A28" s="21" t="s">
        <v>40</v>
      </c>
      <c r="B28" s="10" t="s">
        <v>272</v>
      </c>
      <c r="C28" s="16" t="s">
        <v>5</v>
      </c>
      <c r="D28" s="16" t="s">
        <v>18</v>
      </c>
      <c r="E28" s="16">
        <v>2</v>
      </c>
      <c r="G28" s="16" t="s">
        <v>39</v>
      </c>
    </row>
    <row r="29" spans="1:7">
      <c r="A29" s="21" t="s">
        <v>40</v>
      </c>
      <c r="B29" s="10" t="s">
        <v>273</v>
      </c>
      <c r="C29" s="16" t="s">
        <v>5</v>
      </c>
      <c r="D29" s="16" t="s">
        <v>18</v>
      </c>
      <c r="E29" s="16">
        <v>1</v>
      </c>
      <c r="G29" s="16" t="s">
        <v>39</v>
      </c>
    </row>
    <row r="30" spans="1:7">
      <c r="A30" s="21" t="s">
        <v>40</v>
      </c>
      <c r="B30" s="10" t="s">
        <v>293</v>
      </c>
      <c r="C30" s="16" t="s">
        <v>5</v>
      </c>
      <c r="D30" s="16" t="s">
        <v>18</v>
      </c>
      <c r="E30" s="16">
        <v>2</v>
      </c>
      <c r="G30" s="16" t="s">
        <v>39</v>
      </c>
    </row>
    <row r="31" spans="1:7">
      <c r="A31" s="21" t="s">
        <v>40</v>
      </c>
      <c r="B31" s="10" t="s">
        <v>274</v>
      </c>
      <c r="C31" s="16" t="s">
        <v>5</v>
      </c>
      <c r="D31" s="16" t="s">
        <v>18</v>
      </c>
      <c r="E31" s="16">
        <v>3</v>
      </c>
      <c r="G31" s="16" t="s">
        <v>39</v>
      </c>
    </row>
    <row r="32" spans="1:7">
      <c r="A32" s="21" t="s">
        <v>40</v>
      </c>
      <c r="B32" s="10" t="s">
        <v>275</v>
      </c>
      <c r="C32" s="16" t="s">
        <v>5</v>
      </c>
      <c r="D32" s="16" t="s">
        <v>18</v>
      </c>
      <c r="E32" s="16">
        <v>6</v>
      </c>
      <c r="G32" s="16" t="s">
        <v>39</v>
      </c>
    </row>
    <row r="33" spans="1:7">
      <c r="A33" s="22" t="s">
        <v>41</v>
      </c>
      <c r="B33" s="10" t="s">
        <v>278</v>
      </c>
      <c r="C33" s="16" t="s">
        <v>5</v>
      </c>
      <c r="D33" s="16" t="s">
        <v>18</v>
      </c>
      <c r="E33" s="16">
        <v>3</v>
      </c>
      <c r="G33" s="16" t="s">
        <v>39</v>
      </c>
    </row>
    <row r="34" spans="1:7">
      <c r="A34" s="22" t="s">
        <v>41</v>
      </c>
      <c r="B34" s="10" t="s">
        <v>75</v>
      </c>
      <c r="C34" s="16" t="s">
        <v>5</v>
      </c>
      <c r="D34" s="16" t="s">
        <v>18</v>
      </c>
      <c r="E34" s="16">
        <v>0</v>
      </c>
      <c r="G34" s="16" t="s">
        <v>57</v>
      </c>
    </row>
    <row r="35" spans="1:7">
      <c r="A35" s="23" t="s">
        <v>42</v>
      </c>
      <c r="B35" s="10" t="s">
        <v>280</v>
      </c>
      <c r="D35" s="16" t="s">
        <v>295</v>
      </c>
      <c r="E35" s="16">
        <v>2</v>
      </c>
      <c r="G35" s="16" t="s">
        <v>39</v>
      </c>
    </row>
    <row r="36" spans="1:7">
      <c r="A36" s="23" t="s">
        <v>42</v>
      </c>
      <c r="B36" s="10" t="s">
        <v>281</v>
      </c>
      <c r="C36" s="16" t="s">
        <v>5</v>
      </c>
      <c r="D36" s="16" t="s">
        <v>295</v>
      </c>
      <c r="E36" s="16">
        <v>1</v>
      </c>
      <c r="G36" s="16" t="s">
        <v>39</v>
      </c>
    </row>
    <row r="37" spans="1:7">
      <c r="A37" s="23" t="s">
        <v>42</v>
      </c>
      <c r="B37" s="10" t="s">
        <v>282</v>
      </c>
      <c r="D37" s="16" t="s">
        <v>295</v>
      </c>
      <c r="E37" s="16">
        <v>1</v>
      </c>
      <c r="G37" s="16" t="s">
        <v>39</v>
      </c>
    </row>
    <row r="38" spans="1:7">
      <c r="A38" s="10" t="s">
        <v>279</v>
      </c>
      <c r="B38" s="10" t="s">
        <v>283</v>
      </c>
      <c r="D38" s="16" t="s">
        <v>10</v>
      </c>
      <c r="E38" s="16">
        <v>6</v>
      </c>
      <c r="G38" s="16" t="s">
        <v>39</v>
      </c>
    </row>
    <row r="39" spans="1:7">
      <c r="A39" s="10" t="s">
        <v>279</v>
      </c>
      <c r="B39" s="10" t="s">
        <v>284</v>
      </c>
      <c r="D39" s="16" t="s">
        <v>10</v>
      </c>
      <c r="E39" s="16">
        <v>6</v>
      </c>
      <c r="G39" s="16" t="s">
        <v>39</v>
      </c>
    </row>
    <row r="40" spans="1:7">
      <c r="A40" s="10" t="s">
        <v>279</v>
      </c>
      <c r="B40" s="10" t="s">
        <v>285</v>
      </c>
      <c r="D40" s="16" t="s">
        <v>18</v>
      </c>
      <c r="E40" s="16">
        <v>0</v>
      </c>
      <c r="G40" s="16" t="s">
        <v>39</v>
      </c>
    </row>
    <row r="41" spans="1:7">
      <c r="A41" s="13" t="s">
        <v>38</v>
      </c>
      <c r="B41" s="10" t="s">
        <v>286</v>
      </c>
      <c r="C41" s="16" t="s">
        <v>259</v>
      </c>
      <c r="D41" s="16" t="s">
        <v>10</v>
      </c>
      <c r="E41" s="16">
        <v>1</v>
      </c>
      <c r="G41" s="16" t="s">
        <v>39</v>
      </c>
    </row>
    <row r="42" spans="1:7">
      <c r="A42" s="13" t="s">
        <v>38</v>
      </c>
      <c r="B42" s="10" t="s">
        <v>287</v>
      </c>
      <c r="C42" s="16" t="s">
        <v>5</v>
      </c>
      <c r="D42" s="16" t="s">
        <v>10</v>
      </c>
      <c r="E42" s="16">
        <v>8</v>
      </c>
      <c r="G42" s="16" t="s">
        <v>39</v>
      </c>
    </row>
    <row r="43" spans="1:7">
      <c r="A43" s="13" t="s">
        <v>38</v>
      </c>
      <c r="B43" s="10" t="s">
        <v>288</v>
      </c>
      <c r="C43" s="16" t="s">
        <v>5</v>
      </c>
      <c r="D43" s="16" t="s">
        <v>10</v>
      </c>
      <c r="E43" s="16">
        <v>6</v>
      </c>
      <c r="G43" s="16" t="s">
        <v>39</v>
      </c>
    </row>
    <row r="44" spans="1:7">
      <c r="A44" s="13" t="s">
        <v>38</v>
      </c>
      <c r="B44" s="10" t="s">
        <v>289</v>
      </c>
      <c r="C44" s="16" t="s">
        <v>5</v>
      </c>
      <c r="D44" s="16" t="s">
        <v>10</v>
      </c>
      <c r="E44" s="16">
        <v>8</v>
      </c>
      <c r="G44" s="16" t="s">
        <v>39</v>
      </c>
    </row>
    <row r="45" spans="1:7">
      <c r="A45" s="13" t="s">
        <v>38</v>
      </c>
      <c r="B45" s="10" t="s">
        <v>290</v>
      </c>
      <c r="C45" s="16" t="s">
        <v>5</v>
      </c>
      <c r="D45" s="16" t="s">
        <v>10</v>
      </c>
      <c r="E45" s="16">
        <v>8</v>
      </c>
      <c r="G45" s="16" t="s">
        <v>39</v>
      </c>
    </row>
    <row r="46" spans="1:7">
      <c r="A46" s="13" t="s">
        <v>38</v>
      </c>
      <c r="B46" s="10" t="s">
        <v>291</v>
      </c>
      <c r="C46" s="16" t="s">
        <v>5</v>
      </c>
      <c r="D46" s="16" t="s">
        <v>10</v>
      </c>
      <c r="E46" s="16">
        <v>4</v>
      </c>
      <c r="G46" s="16" t="s">
        <v>39</v>
      </c>
    </row>
    <row r="47" spans="1:7">
      <c r="A47" s="13" t="s">
        <v>38</v>
      </c>
      <c r="B47" s="10" t="s">
        <v>292</v>
      </c>
      <c r="C47" s="16" t="s">
        <v>5</v>
      </c>
      <c r="D47" s="16" t="s">
        <v>10</v>
      </c>
      <c r="E47" s="16">
        <v>12</v>
      </c>
      <c r="G47" s="16" t="s">
        <v>39</v>
      </c>
    </row>
    <row r="48" spans="1:7">
      <c r="A48" s="13" t="s">
        <v>38</v>
      </c>
      <c r="B48" s="10" t="s">
        <v>294</v>
      </c>
      <c r="C48" s="16" t="s">
        <v>5</v>
      </c>
      <c r="D48" s="16" t="s">
        <v>295</v>
      </c>
      <c r="E48" s="16">
        <v>12</v>
      </c>
      <c r="F48" s="10"/>
      <c r="G48" s="16" t="s">
        <v>39</v>
      </c>
    </row>
  </sheetData>
  <autoFilter ref="B2:G40" xr:uid="{00000000-0001-0000-0000-000000000000}">
    <sortState xmlns:xlrd2="http://schemas.microsoft.com/office/spreadsheetml/2017/richdata2" ref="B3:G32">
      <sortCondition ref="B2:B32"/>
    </sortState>
  </autoFilter>
  <phoneticPr fontId="1"/>
  <dataValidations count="3">
    <dataValidation type="list" allowBlank="1" showInputMessage="1" showErrorMessage="1" sqref="D3:D48" xr:uid="{8982FD40-CA4D-4B92-93FE-B37B6B67ACD6}">
      <formula1>"プロト,アルファ,ベータ,マスタ"</formula1>
    </dataValidation>
    <dataValidation type="list" allowBlank="1" showInputMessage="1" showErrorMessage="1" sqref="G3:G48" xr:uid="{E1CFE88F-4F87-4696-BE21-1133C2AEB8C1}">
      <formula1>"未着手,作業中,完了"</formula1>
    </dataValidation>
    <dataValidation type="list" allowBlank="1" showInputMessage="1" showErrorMessage="1" sqref="C3:C48" xr:uid="{AF10AFEC-2E3A-4CB7-ABD8-6255C47E78C2}">
      <formula1>"S,A,B,C"</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4" zoomScale="115" zoomScaleNormal="115" workbookViewId="0">
      <selection activeCell="C26" sqref="C26:I26"/>
    </sheetView>
  </sheetViews>
  <sheetFormatPr defaultRowHeight="18.75"/>
  <sheetData>
    <row r="2" spans="3:16">
      <c r="O2" t="s">
        <v>67</v>
      </c>
    </row>
    <row r="3" spans="3:16">
      <c r="C3" t="s">
        <v>62</v>
      </c>
    </row>
    <row r="4" spans="3:16">
      <c r="C4" s="11" t="s">
        <v>50</v>
      </c>
      <c r="D4" s="11" t="s">
        <v>51</v>
      </c>
      <c r="E4" s="11" t="s">
        <v>52</v>
      </c>
      <c r="F4" s="11" t="s">
        <v>53</v>
      </c>
      <c r="G4" s="11" t="s">
        <v>54</v>
      </c>
      <c r="H4" s="11" t="s">
        <v>55</v>
      </c>
      <c r="I4" s="11" t="s">
        <v>56</v>
      </c>
    </row>
    <row r="5" spans="3:16">
      <c r="C5" s="11"/>
      <c r="D5" s="11"/>
      <c r="E5" s="11"/>
      <c r="F5" s="11"/>
      <c r="G5" s="11"/>
      <c r="H5" s="11">
        <v>1</v>
      </c>
      <c r="I5" s="11">
        <v>2</v>
      </c>
      <c r="M5" t="s">
        <v>68</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18</v>
      </c>
      <c r="P7">
        <v>74</v>
      </c>
    </row>
    <row r="8" spans="3:16">
      <c r="C8" s="10">
        <v>17</v>
      </c>
      <c r="D8" s="10">
        <v>18</v>
      </c>
      <c r="E8" s="10">
        <v>19</v>
      </c>
      <c r="F8" s="10">
        <v>20</v>
      </c>
      <c r="G8" s="10">
        <v>21</v>
      </c>
      <c r="H8" s="38">
        <v>22</v>
      </c>
      <c r="I8" s="11">
        <v>23</v>
      </c>
      <c r="K8" t="s">
        <v>29</v>
      </c>
      <c r="L8" s="37"/>
      <c r="M8">
        <v>17</v>
      </c>
    </row>
    <row r="9" spans="3:16">
      <c r="C9" s="10">
        <v>24</v>
      </c>
      <c r="D9" s="10">
        <v>25</v>
      </c>
      <c r="E9" s="10">
        <v>26</v>
      </c>
      <c r="F9" s="10">
        <v>27</v>
      </c>
      <c r="G9" s="10">
        <v>28</v>
      </c>
      <c r="H9" s="10">
        <v>29</v>
      </c>
      <c r="I9" s="11">
        <v>30</v>
      </c>
      <c r="K9" t="s">
        <v>66</v>
      </c>
      <c r="L9" s="34"/>
      <c r="M9">
        <v>7</v>
      </c>
    </row>
    <row r="10" spans="3:16">
      <c r="C10" s="11">
        <v>31</v>
      </c>
    </row>
    <row r="12" spans="3:16">
      <c r="C12" t="s">
        <v>63</v>
      </c>
    </row>
    <row r="13" spans="3:16">
      <c r="C13" s="11" t="s">
        <v>50</v>
      </c>
      <c r="D13" s="11" t="s">
        <v>51</v>
      </c>
      <c r="E13" s="11" t="s">
        <v>52</v>
      </c>
      <c r="F13" s="11" t="s">
        <v>53</v>
      </c>
      <c r="G13" s="11" t="s">
        <v>54</v>
      </c>
      <c r="H13" s="11" t="s">
        <v>55</v>
      </c>
      <c r="I13" s="11" t="s">
        <v>56</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13">
      <c r="C17" s="31">
        <v>21</v>
      </c>
      <c r="D17" s="31">
        <v>22</v>
      </c>
      <c r="E17" s="31">
        <v>23</v>
      </c>
      <c r="F17" s="31">
        <v>24</v>
      </c>
      <c r="G17" s="31">
        <v>25</v>
      </c>
      <c r="H17" s="31">
        <v>26</v>
      </c>
      <c r="I17" s="31">
        <v>27</v>
      </c>
    </row>
    <row r="18" spans="3:13">
      <c r="C18" s="31">
        <v>28</v>
      </c>
      <c r="D18" s="31">
        <v>29</v>
      </c>
      <c r="E18" s="31">
        <v>30</v>
      </c>
      <c r="F18" s="10"/>
      <c r="G18" s="10"/>
      <c r="H18" s="10"/>
      <c r="I18" s="10"/>
      <c r="K18">
        <v>19</v>
      </c>
    </row>
    <row r="20" spans="3:13">
      <c r="C20" t="s">
        <v>64</v>
      </c>
    </row>
    <row r="21" spans="3:13">
      <c r="C21" s="11" t="s">
        <v>50</v>
      </c>
      <c r="D21" s="11" t="s">
        <v>51</v>
      </c>
      <c r="E21" s="11" t="s">
        <v>52</v>
      </c>
      <c r="F21" s="11" t="s">
        <v>53</v>
      </c>
      <c r="G21" s="11" t="s">
        <v>54</v>
      </c>
      <c r="H21" s="11" t="s">
        <v>55</v>
      </c>
      <c r="I21" s="11" t="s">
        <v>56</v>
      </c>
    </row>
    <row r="22" spans="3:13">
      <c r="C22" s="10"/>
      <c r="D22" s="10"/>
      <c r="E22" s="10"/>
      <c r="F22" s="31">
        <v>1</v>
      </c>
      <c r="G22" s="31">
        <v>2</v>
      </c>
      <c r="H22" s="31">
        <v>3</v>
      </c>
      <c r="I22" s="31">
        <v>4</v>
      </c>
    </row>
    <row r="23" spans="3:13">
      <c r="C23" s="31">
        <v>5</v>
      </c>
      <c r="D23" s="31">
        <v>6</v>
      </c>
      <c r="E23" s="31">
        <v>7</v>
      </c>
      <c r="F23" s="31">
        <v>8</v>
      </c>
      <c r="G23" s="31">
        <v>9</v>
      </c>
      <c r="H23" s="31">
        <v>10</v>
      </c>
      <c r="I23" s="31">
        <v>11</v>
      </c>
    </row>
    <row r="24" spans="3:13">
      <c r="C24" s="31">
        <v>12</v>
      </c>
      <c r="D24" s="31">
        <v>13</v>
      </c>
      <c r="E24" s="31">
        <v>14</v>
      </c>
      <c r="F24" s="31">
        <v>15</v>
      </c>
      <c r="G24" s="31">
        <v>16</v>
      </c>
      <c r="H24" s="31">
        <v>17</v>
      </c>
      <c r="I24" s="19">
        <v>18</v>
      </c>
    </row>
    <row r="25" spans="3:13">
      <c r="C25" s="19">
        <v>19</v>
      </c>
      <c r="D25" s="19">
        <v>20</v>
      </c>
      <c r="E25" s="19">
        <v>21</v>
      </c>
      <c r="F25" s="19">
        <v>22</v>
      </c>
      <c r="G25" s="19">
        <v>23</v>
      </c>
      <c r="H25" s="19">
        <v>24</v>
      </c>
      <c r="I25" s="19">
        <v>25</v>
      </c>
    </row>
    <row r="26" spans="3:13">
      <c r="C26" s="49">
        <v>26</v>
      </c>
      <c r="D26" s="49">
        <v>27</v>
      </c>
      <c r="E26" s="49">
        <v>28</v>
      </c>
      <c r="F26" s="49">
        <v>29</v>
      </c>
      <c r="G26" s="49">
        <v>30</v>
      </c>
      <c r="H26" s="49">
        <v>31</v>
      </c>
      <c r="I26" s="11"/>
      <c r="K26">
        <v>31</v>
      </c>
    </row>
    <row r="29" spans="3:13">
      <c r="M29">
        <v>34</v>
      </c>
    </row>
    <row r="30" spans="3:13">
      <c r="C30" t="s">
        <v>65</v>
      </c>
    </row>
    <row r="31" spans="3:13">
      <c r="C31" s="11" t="s">
        <v>50</v>
      </c>
      <c r="D31" s="11" t="s">
        <v>51</v>
      </c>
      <c r="E31" s="11" t="s">
        <v>52</v>
      </c>
      <c r="F31" s="11" t="s">
        <v>53</v>
      </c>
      <c r="G31" s="11" t="s">
        <v>54</v>
      </c>
      <c r="H31" s="11" t="s">
        <v>55</v>
      </c>
      <c r="I31" s="11" t="s">
        <v>56</v>
      </c>
    </row>
    <row r="32" spans="3:13">
      <c r="C32" s="10"/>
      <c r="D32" s="10"/>
      <c r="E32" s="10"/>
      <c r="F32" s="10"/>
      <c r="G32" s="10"/>
      <c r="H32" s="10"/>
      <c r="I32" s="49">
        <v>1</v>
      </c>
      <c r="K32">
        <v>31</v>
      </c>
    </row>
    <row r="33" spans="3:9">
      <c r="C33" s="19">
        <v>2</v>
      </c>
      <c r="D33" s="19">
        <v>3</v>
      </c>
      <c r="E33" s="19">
        <v>4</v>
      </c>
      <c r="F33" s="19">
        <v>5</v>
      </c>
      <c r="G33" s="19">
        <v>6</v>
      </c>
      <c r="H33" s="19">
        <v>7</v>
      </c>
      <c r="I33" s="19">
        <v>8</v>
      </c>
    </row>
    <row r="34" spans="3:9">
      <c r="C34" s="19">
        <v>9</v>
      </c>
      <c r="D34" s="19">
        <v>10</v>
      </c>
      <c r="E34" s="37">
        <v>11</v>
      </c>
      <c r="F34" s="37">
        <v>12</v>
      </c>
      <c r="G34" s="37">
        <v>13</v>
      </c>
      <c r="H34" s="37">
        <v>14</v>
      </c>
      <c r="I34" s="37">
        <v>15</v>
      </c>
    </row>
    <row r="35" spans="3:9">
      <c r="C35" s="37">
        <v>16</v>
      </c>
      <c r="D35" s="37">
        <v>17</v>
      </c>
      <c r="E35" s="37">
        <v>18</v>
      </c>
      <c r="F35" s="37">
        <v>19</v>
      </c>
      <c r="G35" s="37">
        <v>20</v>
      </c>
      <c r="H35" s="37">
        <v>21</v>
      </c>
      <c r="I35" s="37">
        <v>22</v>
      </c>
    </row>
    <row r="36" spans="3:9">
      <c r="C36" s="37">
        <v>23</v>
      </c>
      <c r="D36" s="37">
        <v>24</v>
      </c>
      <c r="E36" s="37">
        <v>25</v>
      </c>
      <c r="F36" s="37">
        <v>26</v>
      </c>
      <c r="G36" s="37">
        <v>27</v>
      </c>
      <c r="H36" s="34">
        <v>28</v>
      </c>
      <c r="I36" s="34">
        <v>29</v>
      </c>
    </row>
    <row r="37" spans="3:9">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C41"/>
  <sheetViews>
    <sheetView topLeftCell="A20" workbookViewId="0">
      <selection activeCell="C42" sqref="C42"/>
    </sheetView>
  </sheetViews>
  <sheetFormatPr defaultRowHeight="18.75"/>
  <cols>
    <col min="1" max="1" width="8.25" bestFit="1" customWidth="1"/>
    <col min="2" max="2" width="6.25" bestFit="1" customWidth="1"/>
    <col min="3" max="3" width="127.25" bestFit="1" customWidth="1"/>
  </cols>
  <sheetData>
    <row r="1" spans="1:3">
      <c r="A1" t="s">
        <v>77</v>
      </c>
      <c r="B1" t="s">
        <v>78</v>
      </c>
      <c r="C1" t="s">
        <v>79</v>
      </c>
    </row>
    <row r="2" spans="1:3">
      <c r="A2" s="1">
        <v>46166</v>
      </c>
      <c r="B2" t="s">
        <v>80</v>
      </c>
      <c r="C2" t="s">
        <v>81</v>
      </c>
    </row>
    <row r="3" spans="1:3">
      <c r="A3" s="1">
        <v>46167</v>
      </c>
      <c r="B3" t="s">
        <v>82</v>
      </c>
      <c r="C3" t="s">
        <v>83</v>
      </c>
    </row>
    <row r="4" spans="1:3">
      <c r="A4" s="1"/>
      <c r="C4" t="s">
        <v>95</v>
      </c>
    </row>
    <row r="5" spans="1:3">
      <c r="C5" t="s">
        <v>96</v>
      </c>
    </row>
    <row r="7" spans="1:3">
      <c r="A7" s="1">
        <v>46190</v>
      </c>
      <c r="C7" t="s">
        <v>221</v>
      </c>
    </row>
    <row r="8" spans="1:3">
      <c r="A8" s="1">
        <v>46191</v>
      </c>
      <c r="C8" t="s">
        <v>222</v>
      </c>
    </row>
    <row r="9" spans="1:3">
      <c r="A9" s="1">
        <v>46192</v>
      </c>
      <c r="C9" t="s">
        <v>223</v>
      </c>
    </row>
    <row r="10" spans="1:3">
      <c r="C10" t="s">
        <v>224</v>
      </c>
    </row>
    <row r="11" spans="1:3">
      <c r="C11" t="s">
        <v>225</v>
      </c>
    </row>
    <row r="12" spans="1:3">
      <c r="A12" s="1">
        <v>46193</v>
      </c>
      <c r="C12" t="s">
        <v>226</v>
      </c>
    </row>
    <row r="13" spans="1:3">
      <c r="C13" t="s">
        <v>227</v>
      </c>
    </row>
    <row r="14" spans="1:3">
      <c r="A14" s="1">
        <v>46194</v>
      </c>
      <c r="C14" t="s">
        <v>228</v>
      </c>
    </row>
    <row r="15" spans="1:3">
      <c r="C15" t="s">
        <v>229</v>
      </c>
    </row>
    <row r="16" spans="1:3">
      <c r="C16" t="s">
        <v>230</v>
      </c>
    </row>
    <row r="17" spans="1:3">
      <c r="A17" s="1">
        <v>46195</v>
      </c>
      <c r="C17" t="s">
        <v>231</v>
      </c>
    </row>
    <row r="18" spans="1:3">
      <c r="C18" t="s">
        <v>232</v>
      </c>
    </row>
    <row r="19" spans="1:3">
      <c r="C19" t="s">
        <v>233</v>
      </c>
    </row>
    <row r="20" spans="1:3">
      <c r="C20" t="s">
        <v>234</v>
      </c>
    </row>
    <row r="21" spans="1:3">
      <c r="C21" t="s">
        <v>235</v>
      </c>
    </row>
    <row r="22" spans="1:3">
      <c r="C22" t="s">
        <v>237</v>
      </c>
    </row>
    <row r="23" spans="1:3">
      <c r="C23" t="s">
        <v>236</v>
      </c>
    </row>
    <row r="24" spans="1:3">
      <c r="A24" s="1">
        <v>46196</v>
      </c>
      <c r="C24" t="s">
        <v>238</v>
      </c>
    </row>
    <row r="25" spans="1:3">
      <c r="C25" t="s">
        <v>239</v>
      </c>
    </row>
    <row r="26" spans="1:3">
      <c r="C26" t="s">
        <v>240</v>
      </c>
    </row>
    <row r="27" spans="1:3">
      <c r="A27" s="1">
        <v>46197</v>
      </c>
      <c r="C27" t="s">
        <v>241</v>
      </c>
    </row>
    <row r="28" spans="1:3">
      <c r="C28" t="s">
        <v>242</v>
      </c>
    </row>
    <row r="29" spans="1:3">
      <c r="A29" s="1">
        <v>46198</v>
      </c>
      <c r="C29" t="s">
        <v>243</v>
      </c>
    </row>
    <row r="30" spans="1:3">
      <c r="C30" t="s">
        <v>244</v>
      </c>
    </row>
    <row r="31" spans="1:3">
      <c r="C31" t="s">
        <v>245</v>
      </c>
    </row>
    <row r="32" spans="1:3">
      <c r="C32" t="s">
        <v>246</v>
      </c>
    </row>
    <row r="33" spans="1:3">
      <c r="C33" t="s">
        <v>247</v>
      </c>
    </row>
    <row r="34" spans="1:3">
      <c r="C34" t="s">
        <v>248</v>
      </c>
    </row>
    <row r="35" spans="1:3">
      <c r="C35" t="s">
        <v>250</v>
      </c>
    </row>
    <row r="36" spans="1:3">
      <c r="C36" t="s">
        <v>249</v>
      </c>
    </row>
    <row r="37" spans="1:3">
      <c r="A37" s="1">
        <v>46200</v>
      </c>
      <c r="C37" t="s">
        <v>251</v>
      </c>
    </row>
    <row r="38" spans="1:3">
      <c r="A38" s="1">
        <v>46201</v>
      </c>
      <c r="C38" t="s">
        <v>302</v>
      </c>
    </row>
    <row r="39" spans="1:3">
      <c r="C39" t="s">
        <v>305</v>
      </c>
    </row>
    <row r="40" spans="1:3">
      <c r="C40" t="s">
        <v>306</v>
      </c>
    </row>
    <row r="41" spans="1:3">
      <c r="C41" t="s">
        <v>307</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D20"/>
  <sheetViews>
    <sheetView topLeftCell="A4" workbookViewId="0">
      <selection activeCell="I11" sqref="I11"/>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76</v>
      </c>
      <c r="C2" t="s">
        <v>85</v>
      </c>
      <c r="D2" t="s">
        <v>86</v>
      </c>
    </row>
    <row r="3" spans="2:4">
      <c r="D3" t="s">
        <v>87</v>
      </c>
    </row>
    <row r="4" spans="2:4">
      <c r="B4" t="s">
        <v>84</v>
      </c>
      <c r="D4" t="s">
        <v>88</v>
      </c>
    </row>
    <row r="7" spans="2:4">
      <c r="B7" t="s">
        <v>89</v>
      </c>
    </row>
    <row r="9" spans="2:4">
      <c r="B9" t="s">
        <v>90</v>
      </c>
    </row>
    <row r="10" spans="2:4">
      <c r="B10" t="s">
        <v>91</v>
      </c>
      <c r="D10" t="s">
        <v>132</v>
      </c>
    </row>
    <row r="11" spans="2:4">
      <c r="B11" t="s">
        <v>92</v>
      </c>
      <c r="D11" t="s">
        <v>133</v>
      </c>
    </row>
    <row r="12" spans="2:4">
      <c r="D12" t="s">
        <v>303</v>
      </c>
    </row>
    <row r="13" spans="2:4">
      <c r="B13" t="s">
        <v>93</v>
      </c>
      <c r="D13" t="s">
        <v>304</v>
      </c>
    </row>
    <row r="14" spans="2:4">
      <c r="B14" t="s">
        <v>94</v>
      </c>
      <c r="D14" t="s">
        <v>134</v>
      </c>
    </row>
    <row r="15" spans="2:4">
      <c r="D15" t="s">
        <v>135</v>
      </c>
    </row>
    <row r="16" spans="2:4">
      <c r="D16" t="s">
        <v>136</v>
      </c>
    </row>
    <row r="17" spans="2:4">
      <c r="B17" t="s">
        <v>131</v>
      </c>
      <c r="D17" t="s">
        <v>146</v>
      </c>
    </row>
    <row r="18" spans="2:4">
      <c r="B18" t="s">
        <v>208</v>
      </c>
    </row>
    <row r="19" spans="2:4">
      <c r="B19" t="s">
        <v>209</v>
      </c>
    </row>
    <row r="20" spans="2:4">
      <c r="B20" t="s">
        <v>137</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1"/>
      <c r="B1" s="42"/>
      <c r="C1" s="42"/>
      <c r="D1" s="42"/>
      <c r="E1" s="42"/>
      <c r="F1" s="42"/>
      <c r="G1" s="43"/>
    </row>
    <row r="2" spans="1:7">
      <c r="A2" s="44"/>
      <c r="G2" s="45"/>
    </row>
    <row r="3" spans="1:7">
      <c r="A3" s="44"/>
      <c r="C3" t="s">
        <v>186</v>
      </c>
      <c r="G3" s="45"/>
    </row>
    <row r="4" spans="1:7">
      <c r="A4" s="44"/>
      <c r="C4" t="s">
        <v>71</v>
      </c>
      <c r="G4" s="45"/>
    </row>
    <row r="5" spans="1:7">
      <c r="A5" s="44"/>
      <c r="C5" t="s">
        <v>187</v>
      </c>
      <c r="G5" s="45"/>
    </row>
    <row r="6" spans="1:7">
      <c r="A6" s="44"/>
      <c r="C6" t="s">
        <v>189</v>
      </c>
      <c r="G6" s="45"/>
    </row>
    <row r="7" spans="1:7">
      <c r="A7" s="44"/>
      <c r="C7" t="s">
        <v>195</v>
      </c>
      <c r="G7" s="45"/>
    </row>
    <row r="8" spans="1:7">
      <c r="A8" s="44"/>
      <c r="G8" s="45"/>
    </row>
    <row r="9" spans="1:7">
      <c r="A9" s="44"/>
      <c r="B9" t="s">
        <v>188</v>
      </c>
      <c r="D9" t="s">
        <v>190</v>
      </c>
      <c r="F9" t="s">
        <v>193</v>
      </c>
      <c r="G9" s="45"/>
    </row>
    <row r="10" spans="1:7">
      <c r="A10" s="44"/>
      <c r="B10" t="s">
        <v>71</v>
      </c>
      <c r="D10" t="s">
        <v>191</v>
      </c>
      <c r="F10" t="s">
        <v>194</v>
      </c>
      <c r="G10" s="45"/>
    </row>
    <row r="11" spans="1:7">
      <c r="A11" s="44"/>
      <c r="B11" t="s">
        <v>187</v>
      </c>
      <c r="D11" t="s">
        <v>192</v>
      </c>
      <c r="F11" t="s">
        <v>69</v>
      </c>
      <c r="G11" s="45"/>
    </row>
    <row r="12" spans="1:7">
      <c r="A12" s="44"/>
      <c r="B12" t="s">
        <v>189</v>
      </c>
      <c r="D12" t="s">
        <v>189</v>
      </c>
      <c r="F12" t="s">
        <v>189</v>
      </c>
      <c r="G12" s="45"/>
    </row>
    <row r="13" spans="1:7">
      <c r="A13" s="44"/>
      <c r="B13" t="s">
        <v>195</v>
      </c>
      <c r="D13" t="s">
        <v>187</v>
      </c>
      <c r="F13" t="s">
        <v>187</v>
      </c>
      <c r="G13" s="45"/>
    </row>
    <row r="14" spans="1:7" ht="19.5" thickBot="1">
      <c r="A14" s="46"/>
      <c r="B14" s="47"/>
      <c r="C14" s="47"/>
      <c r="D14" s="47" t="s">
        <v>195</v>
      </c>
      <c r="E14" s="47"/>
      <c r="F14" s="47" t="s">
        <v>195</v>
      </c>
      <c r="G14" s="48"/>
    </row>
    <row r="17" spans="2:6">
      <c r="B17" t="s">
        <v>196</v>
      </c>
      <c r="D17" t="s">
        <v>199</v>
      </c>
    </row>
    <row r="18" spans="2:6">
      <c r="B18" t="s">
        <v>74</v>
      </c>
      <c r="D18" t="s">
        <v>198</v>
      </c>
    </row>
    <row r="19" spans="2:6">
      <c r="B19" t="s">
        <v>71</v>
      </c>
      <c r="D19" t="s">
        <v>200</v>
      </c>
    </row>
    <row r="20" spans="2:6">
      <c r="B20" t="s">
        <v>197</v>
      </c>
      <c r="D20" t="s">
        <v>201</v>
      </c>
    </row>
    <row r="21" spans="2:6">
      <c r="B21" t="s">
        <v>97</v>
      </c>
    </row>
    <row r="22" spans="2:6">
      <c r="D22" t="s">
        <v>202</v>
      </c>
      <c r="F22" t="s">
        <v>203</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topLeftCell="A13" workbookViewId="0">
      <selection activeCell="AK26" sqref="AK26"/>
    </sheetView>
  </sheetViews>
  <sheetFormatPr defaultColWidth="4" defaultRowHeight="18.75"/>
  <sheetData>
    <row r="1" spans="1:33">
      <c r="M1" t="s">
        <v>101</v>
      </c>
      <c r="T1" t="s">
        <v>115</v>
      </c>
      <c r="AE1" t="s">
        <v>125</v>
      </c>
    </row>
    <row r="2" spans="1:33">
      <c r="B2" s="40" t="s">
        <v>153</v>
      </c>
      <c r="C2" s="40"/>
      <c r="D2" s="40"/>
      <c r="E2" s="40"/>
      <c r="M2" t="s">
        <v>102</v>
      </c>
      <c r="AE2" t="s">
        <v>139</v>
      </c>
    </row>
    <row r="3" spans="1:33">
      <c r="B3" t="s">
        <v>97</v>
      </c>
      <c r="M3" t="s">
        <v>103</v>
      </c>
      <c r="R3" t="s">
        <v>145</v>
      </c>
      <c r="AE3" t="s">
        <v>126</v>
      </c>
      <c r="AG3" t="s">
        <v>140</v>
      </c>
    </row>
    <row r="4" spans="1:33">
      <c r="B4" t="s">
        <v>98</v>
      </c>
      <c r="M4" t="s">
        <v>138</v>
      </c>
      <c r="AE4" t="s">
        <v>127</v>
      </c>
    </row>
    <row r="5" spans="1:33">
      <c r="B5" t="s">
        <v>71</v>
      </c>
      <c r="M5" t="s">
        <v>104</v>
      </c>
      <c r="AE5" t="s">
        <v>128</v>
      </c>
    </row>
    <row r="6" spans="1:33">
      <c r="B6" t="s">
        <v>99</v>
      </c>
      <c r="M6" t="s">
        <v>105</v>
      </c>
      <c r="AE6" t="s">
        <v>129</v>
      </c>
    </row>
    <row r="7" spans="1:33">
      <c r="B7" t="s">
        <v>100</v>
      </c>
      <c r="M7" t="s">
        <v>106</v>
      </c>
      <c r="R7" t="s">
        <v>114</v>
      </c>
      <c r="AE7" t="s">
        <v>130</v>
      </c>
    </row>
    <row r="8" spans="1:33">
      <c r="B8" t="s">
        <v>72</v>
      </c>
      <c r="M8" t="s">
        <v>73</v>
      </c>
    </row>
    <row r="10" spans="1:33">
      <c r="AE10" t="s">
        <v>143</v>
      </c>
    </row>
    <row r="11" spans="1:33">
      <c r="M11" t="s">
        <v>117</v>
      </c>
    </row>
    <row r="12" spans="1:33">
      <c r="M12" t="s">
        <v>118</v>
      </c>
      <c r="AE12" t="s">
        <v>142</v>
      </c>
    </row>
    <row r="13" spans="1:33">
      <c r="B13" t="s">
        <v>46</v>
      </c>
      <c r="M13" t="s">
        <v>123</v>
      </c>
    </row>
    <row r="14" spans="1:33">
      <c r="A14" t="s">
        <v>108</v>
      </c>
      <c r="B14" t="s">
        <v>107</v>
      </c>
      <c r="D14" t="s">
        <v>109</v>
      </c>
    </row>
    <row r="15" spans="1:33">
      <c r="D15" t="s">
        <v>141</v>
      </c>
      <c r="M15" t="s">
        <v>119</v>
      </c>
    </row>
    <row r="16" spans="1:33">
      <c r="M16" t="s">
        <v>120</v>
      </c>
      <c r="AF16" s="39" t="s">
        <v>147</v>
      </c>
      <c r="AG16" s="39"/>
    </row>
    <row r="17" spans="1:37">
      <c r="B17" t="s">
        <v>110</v>
      </c>
      <c r="F17" t="s">
        <v>111</v>
      </c>
      <c r="M17" t="s">
        <v>124</v>
      </c>
      <c r="AF17" t="s">
        <v>148</v>
      </c>
      <c r="AK17" t="s">
        <v>150</v>
      </c>
    </row>
    <row r="18" spans="1:37">
      <c r="M18" t="s">
        <v>121</v>
      </c>
      <c r="AF18" t="s">
        <v>149</v>
      </c>
    </row>
    <row r="19" spans="1:37">
      <c r="B19" t="s">
        <v>113</v>
      </c>
      <c r="D19" t="s">
        <v>111</v>
      </c>
      <c r="M19" t="s">
        <v>122</v>
      </c>
      <c r="AF19" t="s">
        <v>151</v>
      </c>
    </row>
    <row r="20" spans="1:37">
      <c r="AF20" t="s">
        <v>140</v>
      </c>
    </row>
    <row r="21" spans="1:37">
      <c r="B21" t="s">
        <v>112</v>
      </c>
      <c r="D21" t="s">
        <v>111</v>
      </c>
    </row>
    <row r="22" spans="1:37">
      <c r="M22" t="s">
        <v>144</v>
      </c>
    </row>
    <row r="24" spans="1:37">
      <c r="D24" t="s">
        <v>216</v>
      </c>
    </row>
    <row r="28" spans="1:37">
      <c r="A28" t="s">
        <v>217</v>
      </c>
    </row>
    <row r="38" spans="1:15">
      <c r="A38" t="s">
        <v>125</v>
      </c>
    </row>
    <row r="41" spans="1:15">
      <c r="A41" t="s">
        <v>219</v>
      </c>
    </row>
    <row r="42" spans="1:15">
      <c r="A42" t="s">
        <v>220</v>
      </c>
    </row>
    <row r="43" spans="1:15">
      <c r="O43" t="s">
        <v>218</v>
      </c>
    </row>
  </sheetData>
  <phoneticPr fontId="1"/>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0" t="s">
        <v>152</v>
      </c>
      <c r="D2" s="40"/>
      <c r="E2" s="40"/>
      <c r="Q2" t="s">
        <v>154</v>
      </c>
    </row>
    <row r="4" spans="3:24">
      <c r="C4" t="s">
        <v>172</v>
      </c>
      <c r="Q4" t="s">
        <v>170</v>
      </c>
    </row>
    <row r="5" spans="3:24">
      <c r="C5" t="s">
        <v>171</v>
      </c>
      <c r="I5" t="s">
        <v>183</v>
      </c>
      <c r="Q5" t="s">
        <v>181</v>
      </c>
    </row>
    <row r="6" spans="3:24">
      <c r="C6" t="s">
        <v>182</v>
      </c>
      <c r="I6" t="s">
        <v>184</v>
      </c>
      <c r="Q6" t="s">
        <v>155</v>
      </c>
      <c r="S6" t="s">
        <v>156</v>
      </c>
    </row>
    <row r="7" spans="3:24">
      <c r="Q7" t="s">
        <v>157</v>
      </c>
    </row>
    <row r="8" spans="3:24">
      <c r="C8" t="s">
        <v>174</v>
      </c>
      <c r="Q8" t="s">
        <v>158</v>
      </c>
    </row>
    <row r="9" spans="3:24">
      <c r="C9" t="s">
        <v>178</v>
      </c>
      <c r="I9" t="s">
        <v>184</v>
      </c>
      <c r="Q9" t="s">
        <v>176</v>
      </c>
      <c r="X9" t="s">
        <v>177</v>
      </c>
    </row>
    <row r="10" spans="3:24">
      <c r="C10" t="s">
        <v>173</v>
      </c>
      <c r="Q10" t="s">
        <v>159</v>
      </c>
    </row>
    <row r="11" spans="3:24">
      <c r="C11" t="s">
        <v>175</v>
      </c>
      <c r="I11" t="s">
        <v>183</v>
      </c>
      <c r="Q11" t="s">
        <v>160</v>
      </c>
    </row>
    <row r="12" spans="3:24">
      <c r="Q12" t="s">
        <v>161</v>
      </c>
    </row>
    <row r="13" spans="3:24">
      <c r="C13" t="s">
        <v>179</v>
      </c>
      <c r="Q13" t="s">
        <v>162</v>
      </c>
      <c r="S13" t="s">
        <v>163</v>
      </c>
    </row>
    <row r="14" spans="3:24">
      <c r="C14" t="s">
        <v>180</v>
      </c>
      <c r="I14" t="s">
        <v>185</v>
      </c>
      <c r="Q14" t="s">
        <v>164</v>
      </c>
      <c r="S14" t="s">
        <v>165</v>
      </c>
    </row>
    <row r="15" spans="3:24">
      <c r="Q15" t="s">
        <v>166</v>
      </c>
      <c r="R15" t="s">
        <v>167</v>
      </c>
    </row>
    <row r="16" spans="3:24">
      <c r="Q16" t="s">
        <v>168</v>
      </c>
      <c r="S16" t="s">
        <v>169</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116</v>
      </c>
      <c r="AE2" s="41" t="s">
        <v>205</v>
      </c>
      <c r="AF2" s="42"/>
      <c r="AG2" s="42"/>
      <c r="AH2" s="42"/>
      <c r="AI2" s="43"/>
    </row>
    <row r="3" spans="3:35">
      <c r="AE3" s="44" t="s">
        <v>206</v>
      </c>
      <c r="AI3" s="45"/>
    </row>
    <row r="4" spans="3:35">
      <c r="AE4" s="44" t="s">
        <v>207</v>
      </c>
      <c r="AI4" s="45"/>
    </row>
    <row r="5" spans="3:35" ht="19.5" thickBot="1">
      <c r="AE5" s="46" t="s">
        <v>212</v>
      </c>
      <c r="AF5" s="47"/>
      <c r="AG5" s="47"/>
      <c r="AH5" s="47"/>
      <c r="AI5" s="48"/>
    </row>
    <row r="9" spans="3:35">
      <c r="AE9" t="s">
        <v>204</v>
      </c>
    </row>
    <row r="31" spans="34:47">
      <c r="AN31" t="s">
        <v>210</v>
      </c>
      <c r="AU31" t="s">
        <v>215</v>
      </c>
    </row>
    <row r="32" spans="34:47">
      <c r="AH32" t="s">
        <v>214</v>
      </c>
      <c r="AN32" t="s">
        <v>211</v>
      </c>
    </row>
    <row r="33" spans="40:40">
      <c r="AN33" t="s">
        <v>213</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3BF17534-2B47-4857-AC25-7C99424F8AA0}">
  <ds:schemaRefs>
    <ds:schemaRef ds:uri="http://schemas.microsoft.com/sharepoint/v3/contenttype/forms"/>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概要</vt:lpstr>
      <vt:lpstr>作業工数見積もり</vt:lpstr>
      <vt:lpstr>カレンダー</vt:lpstr>
      <vt:lpstr>日記</vt:lpstr>
      <vt:lpstr>メモ</vt:lpstr>
      <vt:lpstr>雑用</vt:lpstr>
      <vt:lpstr>仕様書①</vt:lpstr>
      <vt:lpstr>仕様書②</vt:lpstr>
      <vt:lpstr>クラス設計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2026-06-30T15:20:48Z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