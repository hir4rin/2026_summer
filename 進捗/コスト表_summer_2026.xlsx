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B3487F2A-452E-475C-B295-0E2B85A351D0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①" sheetId="13" r:id="rId7"/>
    <sheet name="仕様書②" sheetId="15" r:id="rId8"/>
    <sheet name="クラス設計" sheetId="14" r:id="rId9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<sst xmlns="http://schemas.openxmlformats.org/spreadsheetml/2006/main" count="543" uniqueCount="251">
  <si>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</si>
  <si>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</si>
  <si>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</si>
  <si>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</si>
  <si>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</si>
  <si>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</si>
  <si>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</si>
  <si>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</si>
  <si>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</si>
  <si>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</si>
  <si>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</si>
  <si>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</si>
  <si>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</si>
  <si>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</si>
  <si>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</si>
  <si>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</si>
  <si>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</si>
  <si>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</si>
  <si>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</si>
  <si>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</si>
  <si>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</si>
  <si>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</si>
  <si>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</si>
  <si>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</si>
  <si>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</si>
  <si>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</si>
  <si>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</si>
  <si>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</si>
  <si>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</si>
  <si>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</si>
  <si>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</si>
  <si>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</si>
  <si>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</si>
  <si>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</si>
  <si>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</si>
  <si>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</si>
  <si>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</si>
  <si>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</si>
  <si>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</si>
  <si>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</si>
  <si>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</si>
  <si>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</si>
  <si>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</si>
  <si>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</si>
  <si>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</si>
  <si>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</si>
  <si>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</si>
  <si>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</si>
  <si>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</si>
  <si>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</si>
  <si>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</si>
  <si>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</si>
  <si>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</si>
  <si>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</si>
  <si>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</si>
  <si>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</si>
  <si>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</si>
  <si>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</si>
  <si>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</si>
  <si>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</si>
  <si>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</si>
  <si>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</si>
  <si>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</si>
  <si>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</si>
  <si>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</si>
  <si>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</si>
  <si>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</si>
  <si>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</si>
  <si>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</si>
  <si>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</si>
  <si>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</si>
  <si>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</si>
  <si>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</si>
  <si>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</si>
  <si>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</si>
  <si>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</si>
  <si>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</si>
  <si>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</si>
  <si>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</si>
  <si>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</si>
  <si>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</si>
  <si>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</si>
  <si>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</si>
  <si>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</si>
  <si>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</si>
  <si>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</si>
  <si>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</si>
  <si>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</si>
  <si>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</si>
  <si>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</si>
  <si>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</si>
  <si>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</si>
  <si>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</si>
  <si>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</si>
  <si>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</si>
  <si>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</si>
  <si>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</si>
  <si>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</si>
  <si>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</si>
  <si>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</si>
  <si>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</si>
  <si>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</si>
  <si>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</si>
  <si>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</si>
  <si>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</si>
  <si>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</si>
  <si>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</si>
  <si>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</si>
  <si>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</si>
  <si>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</si>
  <si>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</si>
  <si>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</si>
  <si>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</si>
  <si>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</si>
  <si>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</si>
  <si>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</si>
  <si>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</si>
  <si>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</si>
  <si>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</si>
  <si>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</si>
  <si>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</si>
  <si>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</si>
  <si>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</si>
  <si>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</si>
  <si>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</si>
  <si>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</si>
  <si>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</si>
  <si>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</si>
  <si>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</si>
  <si>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</si>
  <si>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</si>
  <si>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</si>
  <si>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</si>
  <si>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</si>
  <si>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</si>
  <si>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</si>
  <si>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</si>
  <si>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</si>
  <si>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</si>
  <si>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</si>
  <si>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</si>
  <si>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</si>
  <si>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</si>
  <si>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</si>
  <si>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</si>
  <si>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</si>
  <si>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</si>
  <si>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</si>
  <si>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</si>
  <si>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</si>
  <si>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</si>
  <si>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</si>
  <si>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</si>
  <si>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</si>
  <si>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</si>
  <si>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</si>
  <si>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</si>
  <si>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</si>
  <si>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</si>
  <si>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</si>
  <si>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</si>
  <si>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</si>
  <si>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</si>
  <si>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</si>
  <si>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</si>
  <si>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</si>
  <si>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</si>
  <si>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</si>
  <si>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</si>
  <si>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</si>
  <si>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</si>
  <si>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</si>
  <si>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</si>
  <si>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</si>
  <si>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</si>
  <si>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</si>
  <si>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</si>
  <si>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</si>
  <si>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</si>
  <si>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</si>
  <si>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</si>
  <si>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</si>
  <si>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</si>
  <si>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</si>
  <si>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</si>
  <si>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</si>
  <si>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</si>
  <si>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</si>
  <si>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</si>
  <si>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</si>
  <si>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</si>
  <si>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</si>
  <si>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</si>
  <si>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</si>
  <si>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</si>
  <si>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</si>
  <si>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</si>
  <si>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</si>
  <si>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</si>
  <si>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カメラを攻撃切り上げ時に空中にカメラが行くようにする</t>
    <rPh sb="4" eb="6">
      <t>コウゲキ</t>
    </rPh>
    <rPh sb="6" eb="7">
      <t>キ</t>
    </rPh>
    <rPh sb="8" eb="9">
      <t>ア</t>
    </rPh>
    <rPh sb="10" eb="11">
      <t>ジ</t>
    </rPh>
    <rPh sb="12" eb="14">
      <t>クウチュウ</t>
    </rPh>
    <rPh sb="19" eb="20">
      <t>イ</t>
    </rPh>
    <phoneticPr fontId="1"/>
  </si>
  <si>
    <t>CG要望</t>
    <rPh sb="2" eb="4">
      <t>ヨウボウ</t>
    </rPh>
    <phoneticPr fontId="1"/>
  </si>
  <si>
    <t>地上5段</t>
    <rPh sb="0" eb="2">
      <t>チジョウ</t>
    </rPh>
    <rPh sb="3" eb="4">
      <t>ダン</t>
    </rPh>
    <phoneticPr fontId="1"/>
  </si>
  <si>
    <t>スキル3段攻撃</t>
    <rPh sb="4" eb="5">
      <t>ダン</t>
    </rPh>
    <rPh sb="5" eb="7">
      <t>コウゲキ</t>
    </rPh>
    <phoneticPr fontId="1"/>
  </si>
  <si>
    <t>空中は触ってみる</t>
    <rPh sb="0" eb="2">
      <t>クウチュウ</t>
    </rPh>
    <rPh sb="3" eb="4">
      <t>サワ</t>
    </rPh>
    <phoneticPr fontId="1"/>
  </si>
  <si>
    <t>スキル強攻撃（一旦一つ）</t>
    <rPh sb="3" eb="6">
      <t>キョウコウゲキ</t>
    </rPh>
    <rPh sb="7" eb="10">
      <t>イッタンヒト</t>
    </rPh>
    <phoneticPr fontId="1"/>
  </si>
  <si>
    <t>敵の仕様書</t>
    <rPh sb="0" eb="1">
      <t>テキ</t>
    </rPh>
    <rPh sb="2" eb="5">
      <t>シヨウショ</t>
    </rPh>
    <phoneticPr fontId="1"/>
  </si>
  <si>
    <t>playerの仕様書</t>
    <rPh sb="7" eb="10">
      <t>シヨウショ</t>
    </rPh>
    <phoneticPr fontId="1"/>
  </si>
  <si>
    <t>忍者外電4　敵キャラ         攻撃種</t>
  </si>
  <si>
    <t>・龍神党尖兵(大砲)</t>
  </si>
  <si>
    <t>技1つ</t>
  </si>
  <si>
    <t>・龍神党尖兵(なぎなた)　　　薙刀分回し(4連攻撃)、牙突攻撃(重め)</t>
  </si>
  <si>
    <t>・龍神党尖兵(飛行)</t>
  </si>
  <si>
    <t>・・龍神党兵長(銃)</t>
  </si>
  <si>
    <t>・・龍神党兵長(手裏剣)</t>
  </si>
  <si>
    <t>・飛天狗(銭杖)　　　　　　鎌の２連攻撃、空を飛ぶ</t>
  </si>
  <si>
    <t>・飛天狗(扇)</t>
  </si>
  <si>
    <t>遠距離キャラ、中身は銃と一緒</t>
  </si>
  <si>
    <t>・大飛天狗</t>
  </si>
  <si>
    <t>近距離6連撃、2連撃、牙突など龍神党兵長に似た感じ</t>
  </si>
  <si>
    <t>・童子(鉈)　　　</t>
  </si>
  <si>
    <t>4パターンぐらい、全部近接、3コンボ(蹴り飛ばし)、6コンボなど</t>
  </si>
  <si>
    <t>・童子(刀)</t>
  </si>
  <si>
    <t>大剣を持っている、大ぶりな攻撃がおおい</t>
  </si>
  <si>
    <t>・龍神党尖兵(刀)　　　　　　2,4種ぐらい</t>
    <phoneticPr fontId="1"/>
  </si>
  <si>
    <t>龍神党尖兵(刀)　</t>
  </si>
  <si>
    <t>・雑魚敵</t>
    <rPh sb="1" eb="4">
      <t>ザコテキ</t>
    </rPh>
    <phoneticPr fontId="1"/>
  </si>
  <si>
    <t>・中ボス</t>
    <rPh sb="1" eb="2">
      <t>チュウ</t>
    </rPh>
    <phoneticPr fontId="1"/>
  </si>
  <si>
    <t>・ちょっと強い敵</t>
    <rPh sb="5" eb="6">
      <t>ツヨ</t>
    </rPh>
    <rPh sb="7" eb="8">
      <t>テキ</t>
    </rPh>
    <phoneticPr fontId="1"/>
  </si>
  <si>
    <t>童子</t>
    <rPh sb="0" eb="1">
      <t>ワラベ</t>
    </rPh>
    <rPh sb="1" eb="2">
      <t>コ</t>
    </rPh>
    <phoneticPr fontId="1"/>
  </si>
  <si>
    <t>・龍神党兵長(刀)　</t>
    <phoneticPr fontId="1"/>
  </si>
  <si>
    <t>　　遠距離技、近距離技2種(1combo,3comboの剣)</t>
    <phoneticPr fontId="1"/>
  </si>
  <si>
    <t>龍神党兵長(刀)　</t>
  </si>
  <si>
    <t>ボス</t>
    <phoneticPr fontId="1"/>
  </si>
  <si>
    <t>1-1のボス</t>
    <phoneticPr fontId="1"/>
  </si>
  <si>
    <t>・龍神党尖兵(銃)　　　　　　2種、近距離技一つと銃技1つ</t>
    <phoneticPr fontId="1"/>
  </si>
  <si>
    <t>龍神党尖兵(銃)　</t>
  </si>
  <si>
    <t>S</t>
    <phoneticPr fontId="1"/>
  </si>
  <si>
    <t>A</t>
    <phoneticPr fontId="1"/>
  </si>
  <si>
    <t>B</t>
    <phoneticPr fontId="1"/>
  </si>
  <si>
    <t>敵の設計を作る</t>
    <rPh sb="0" eb="1">
      <t>テキ</t>
    </rPh>
    <rPh sb="2" eb="4">
      <t>セッケイ</t>
    </rPh>
    <rPh sb="5" eb="6">
      <t>ツク</t>
    </rPh>
    <phoneticPr fontId="1"/>
  </si>
  <si>
    <t>敵のステートパターンまで作る</t>
    <rPh sb="0" eb="1">
      <t>テキ</t>
    </rPh>
    <rPh sb="12" eb="13">
      <t>ツク</t>
    </rPh>
    <phoneticPr fontId="1"/>
  </si>
  <si>
    <t>EnemyBase</t>
    <phoneticPr fontId="1"/>
  </si>
  <si>
    <t>警戒態勢</t>
    <rPh sb="0" eb="4">
      <t>ケイカイタイセイ</t>
    </rPh>
    <phoneticPr fontId="1"/>
  </si>
  <si>
    <t>Enemy１</t>
    <phoneticPr fontId="1"/>
  </si>
  <si>
    <t>距離とり</t>
    <rPh sb="0" eb="2">
      <t>キョリ</t>
    </rPh>
    <phoneticPr fontId="1"/>
  </si>
  <si>
    <t>Enemy2</t>
    <phoneticPr fontId="1"/>
  </si>
  <si>
    <t>遠距離攻撃</t>
    <rPh sb="0" eb="5">
      <t>エンキョリコウゲキ</t>
    </rPh>
    <phoneticPr fontId="1"/>
  </si>
  <si>
    <t>近距離攻撃</t>
    <rPh sb="0" eb="3">
      <t>キンキョリ</t>
    </rPh>
    <rPh sb="3" eb="5">
      <t>コウゲキ</t>
    </rPh>
    <phoneticPr fontId="1"/>
  </si>
  <si>
    <t>Enemy3</t>
    <phoneticPr fontId="1"/>
  </si>
  <si>
    <t>近距離攻撃</t>
    <rPh sb="0" eb="5">
      <t>キンキョリコウゲキ</t>
    </rPh>
    <phoneticPr fontId="1"/>
  </si>
  <si>
    <t>pに近づく</t>
    <rPh sb="2" eb="3">
      <t>チカ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</si>
</sst>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  <xf numFmtId="0" fontId="0" fillId="25" borderId="0" xfId="0" applyFill="1"/>
    <xf numFmtId="0" fontId="0" fillId="26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417</v>
      </c>
      <c r="D5" s="3">
        <f ca="1" xml:space="preserve"> C4 / C5</f>
        <v>1.4388489208633094E-2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46186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-386</v>
      </c>
      <c r="E10" s="3">
        <f ca="1">($C$3 - $C$4) / D10</f>
        <v>-0.22279792746113988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-366</v>
      </c>
      <c r="E11" s="3">
        <f ca="1">($C$3 - $C$4) / D11</f>
        <v>-0.23497267759562843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-355</v>
      </c>
      <c r="E12" s="3">
        <f ca="1">($C$3 - $C$4) / D12</f>
        <v>-0.24225352112676057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136</v>
      </c>
    </row>
    <row r="15" spans="1:12" outlineLevel="1">
      <c r="A15" s="19"/>
      <c r="B15" s="10" t="s">
        <v>137</v>
      </c>
    </row>
    <row r="16" spans="1:12" outlineLevel="1">
      <c r="A16" s="19"/>
      <c r="B16" s="10" t="s">
        <v>138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165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166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167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132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135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133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134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119</v>
      </c>
      <c r="B1" t="s">
        <v>120</v>
      </c>
      <c r="C1" t="s">
        <v>121</v>
      </c>
    </row>
    <row r="2" spans="1:3">
      <c r="A2" s="1">
        <v>46166</v>
      </c>
      <c r="B2" t="s">
        <v>122</v>
      </c>
      <c r="C2" t="s">
        <v>123</v>
      </c>
    </row>
    <row r="3" spans="1:3">
      <c r="A3" s="1">
        <v>46167</v>
      </c>
      <c r="B3" t="s">
        <v>124</v>
      </c>
      <c r="C3" t="s">
        <v>125</v>
      </c>
    </row>
    <row r="4" spans="1:3">
      <c r="A4" s="1"/>
      <c r="C4" t="s">
        <v>144</v>
      </c>
    </row>
    <row r="5" spans="1:3">
      <c r="C5" t="s">
        <v>145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B18" sqref="B18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118</v>
      </c>
      <c r="C2" t="s">
        <v>127</v>
      </c>
      <c r="D2" t="s">
        <v>128</v>
      </c>
    </row>
    <row r="3" spans="2:4">
      <c r="D3" t="s">
        <v>129</v>
      </c>
    </row>
    <row r="4" spans="2:4">
      <c r="B4" t="s">
        <v>126</v>
      </c>
      <c r="D4" t="s">
        <v>130</v>
      </c>
    </row>
    <row r="7" spans="2:4">
      <c r="B7" t="s">
        <v>131</v>
      </c>
    </row>
    <row r="9" spans="2:4">
      <c r="B9" t="s">
        <v>139</v>
      </c>
    </row>
    <row r="10" spans="2:4">
      <c r="B10" t="s">
        <v>140</v>
      </c>
      <c r="D10" t="s">
        <v>184</v>
      </c>
    </row>
    <row r="11" spans="2:4">
      <c r="B11" t="s">
        <v>141</v>
      </c>
      <c r="D11" t="s">
        <v>185</v>
      </c>
    </row>
    <row r="12" spans="2:4">
      <c r="D12" t="s">
        <v>186</v>
      </c>
    </row>
    <row r="13" spans="2:4">
      <c r="B13" t="s">
        <v>142</v>
      </c>
      <c r="D13" t="s">
        <v>187</v>
      </c>
    </row>
    <row r="14" spans="2:4">
      <c r="B14" t="s">
        <v>143</v>
      </c>
      <c r="D14" t="s">
        <v>188</v>
      </c>
    </row>
    <row r="15" spans="2:4">
      <c r="D15" t="s">
        <v>189</v>
      </c>
    </row>
    <row r="17" spans="2:4">
      <c r="B17" t="s">
        <v>183</v>
      </c>
      <c r="D17" t="s">
        <v>199</v>
      </c>
    </row>
    <row r="18" spans="2:4">
      <c r="B18" t="s">
        <v>239</v>
      </c>
    </row>
    <row r="19" spans="2:4">
      <c r="B19" t="s">
        <v>240</v>
      </c>
    </row>
    <row r="20" spans="2:4">
      <c r="B20" t="s">
        <v>190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B3:F16"/>
  <sheetViews>
    <sheetView tabSelected="1" workbookViewId="0">
      <selection activeCell="I14" sqref="I14"/>
    </sheetView>
  </sheetViews>
  <sheetFormatPr defaultRowHeight="18.75"/>
  <sheetData>
    <row r="3" spans="2:6">
      <c r="C3" t="s">
        <v>241</v>
      </c>
    </row>
    <row r="4" spans="2:6">
      <c r="C4" t="s">
        <v>91</v>
      </c>
    </row>
    <row r="5" spans="2:6">
      <c r="C5" t="s">
        <v>242</v>
      </c>
    </row>
    <row r="6" spans="2:6">
      <c r="C6" t="s">
        <v>244</v>
      </c>
    </row>
    <row r="7" spans="2:6">
      <c r="C7" t="s">
        <v>250</v>
      </c>
    </row>
    <row r="11" spans="2:6">
      <c r="B11" t="s">
        <v>243</v>
      </c>
      <c r="D11" t="s">
        <v>245</v>
      </c>
      <c r="F11" t="s">
        <v>248</v>
      </c>
    </row>
    <row r="12" spans="2:6">
      <c r="B12" t="s">
        <v>91</v>
      </c>
      <c r="D12" t="s">
        <v>246</v>
      </c>
      <c r="F12" t="s">
        <v>249</v>
      </c>
    </row>
    <row r="13" spans="2:6">
      <c r="B13" t="s">
        <v>242</v>
      </c>
      <c r="D13" t="s">
        <v>247</v>
      </c>
      <c r="F13" t="s">
        <v>85</v>
      </c>
    </row>
    <row r="14" spans="2:6">
      <c r="B14" t="s">
        <v>244</v>
      </c>
      <c r="D14" t="s">
        <v>244</v>
      </c>
      <c r="F14" t="s">
        <v>244</v>
      </c>
    </row>
    <row r="15" spans="2:6">
      <c r="B15" t="s">
        <v>250</v>
      </c>
      <c r="D15" t="s">
        <v>242</v>
      </c>
      <c r="F15" t="s">
        <v>242</v>
      </c>
    </row>
    <row r="16" spans="2:6">
      <c r="D16" t="s">
        <v>250</v>
      </c>
      <c r="F16" t="s">
        <v>250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K22"/>
  <sheetViews>
    <sheetView workbookViewId="0">
      <selection activeCell="F6" sqref="F6"/>
    </sheetView>
  </sheetViews>
  <sheetFormatPr defaultColWidth="4" defaultRowHeight="18.75"/>
  <sheetData>
    <row r="1" spans="1:33">
      <c r="M1" t="s">
        <v>150</v>
      </c>
      <c r="T1" t="s">
        <v>164</v>
      </c>
      <c r="AE1" t="s">
        <v>177</v>
      </c>
    </row>
    <row r="2" spans="1:33">
      <c r="B2" s="41" t="s">
        <v>206</v>
      </c>
      <c r="C2" s="41"/>
      <c r="D2" s="41"/>
      <c r="E2" s="41"/>
      <c r="M2" t="s">
        <v>151</v>
      </c>
      <c r="AE2" t="s">
        <v>192</v>
      </c>
    </row>
    <row r="3" spans="1:33">
      <c r="B3" t="s">
        <v>146</v>
      </c>
      <c r="M3" t="s">
        <v>152</v>
      </c>
      <c r="R3" t="s">
        <v>198</v>
      </c>
      <c r="AE3" t="s">
        <v>178</v>
      </c>
      <c r="AG3" t="s">
        <v>193</v>
      </c>
    </row>
    <row r="4" spans="1:33">
      <c r="B4" t="s">
        <v>147</v>
      </c>
      <c r="M4" t="s">
        <v>191</v>
      </c>
      <c r="AE4" t="s">
        <v>179</v>
      </c>
    </row>
    <row r="5" spans="1:33">
      <c r="B5" t="s">
        <v>91</v>
      </c>
      <c r="M5" t="s">
        <v>153</v>
      </c>
      <c r="AE5" t="s">
        <v>180</v>
      </c>
    </row>
    <row r="6" spans="1:33">
      <c r="B6" t="s">
        <v>148</v>
      </c>
      <c r="M6" t="s">
        <v>154</v>
      </c>
      <c r="AE6" t="s">
        <v>181</v>
      </c>
    </row>
    <row r="7" spans="1:33">
      <c r="B7" t="s">
        <v>149</v>
      </c>
      <c r="M7" t="s">
        <v>155</v>
      </c>
      <c r="R7" t="s">
        <v>163</v>
      </c>
      <c r="AE7" t="s">
        <v>182</v>
      </c>
    </row>
    <row r="8" spans="1:33">
      <c r="B8" t="s">
        <v>97</v>
      </c>
      <c r="M8" t="s">
        <v>99</v>
      </c>
    </row>
    <row r="10" spans="1:33">
      <c r="AE10" t="s">
        <v>196</v>
      </c>
    </row>
    <row r="11" spans="1:33">
      <c r="M11" t="s">
        <v>169</v>
      </c>
    </row>
    <row r="12" spans="1:33">
      <c r="M12" t="s">
        <v>170</v>
      </c>
      <c r="AE12" t="s">
        <v>195</v>
      </c>
    </row>
    <row r="13" spans="1:33">
      <c r="B13" t="s">
        <v>49</v>
      </c>
      <c r="M13" t="s">
        <v>175</v>
      </c>
    </row>
    <row r="14" spans="1:33">
      <c r="A14" t="s">
        <v>157</v>
      </c>
      <c r="B14" t="s">
        <v>156</v>
      </c>
      <c r="D14" t="s">
        <v>158</v>
      </c>
    </row>
    <row r="15" spans="1:33">
      <c r="D15" t="s">
        <v>194</v>
      </c>
      <c r="M15" t="s">
        <v>171</v>
      </c>
    </row>
    <row r="16" spans="1:33">
      <c r="M16" t="s">
        <v>172</v>
      </c>
      <c r="AF16" s="40" t="s">
        <v>200</v>
      </c>
      <c r="AG16" s="40"/>
    </row>
    <row r="17" spans="2:37">
      <c r="B17" t="s">
        <v>159</v>
      </c>
      <c r="F17" t="s">
        <v>160</v>
      </c>
      <c r="M17" t="s">
        <v>176</v>
      </c>
      <c r="AF17" t="s">
        <v>201</v>
      </c>
      <c r="AK17" t="s">
        <v>203</v>
      </c>
    </row>
    <row r="18" spans="2:37">
      <c r="M18" t="s">
        <v>173</v>
      </c>
      <c r="AF18" t="s">
        <v>202</v>
      </c>
    </row>
    <row r="19" spans="2:37">
      <c r="B19" t="s">
        <v>162</v>
      </c>
      <c r="D19" t="s">
        <v>160</v>
      </c>
      <c r="M19" t="s">
        <v>174</v>
      </c>
      <c r="AF19" t="s">
        <v>204</v>
      </c>
    </row>
    <row r="20" spans="2:37">
      <c r="AF20" t="s">
        <v>193</v>
      </c>
    </row>
    <row r="21" spans="2:37">
      <c r="B21" t="s">
        <v>161</v>
      </c>
      <c r="D21" t="s">
        <v>160</v>
      </c>
    </row>
    <row r="22" spans="2:37">
      <c r="M22" t="s">
        <v>197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96B1-EBF5-4BB2-93CD-A0906537FC8C}">
  <dimension ref="C2:X16"/>
  <sheetViews>
    <sheetView workbookViewId="0">
      <selection activeCell="S20" sqref="S20"/>
    </sheetView>
  </sheetViews>
  <sheetFormatPr defaultColWidth="3.875" defaultRowHeight="18.75"/>
  <cols>
    <col min="25" max="25" width="3.625" customWidth="1"/>
  </cols>
  <sheetData>
    <row r="2" spans="3:24">
      <c r="C2" s="41" t="s">
        <v>205</v>
      </c>
      <c r="D2" s="41"/>
      <c r="E2" s="41"/>
      <c r="Q2" t="s">
        <v>207</v>
      </c>
    </row>
    <row r="4" spans="3:24">
      <c r="C4" t="s">
        <v>225</v>
      </c>
      <c r="Q4" t="s">
        <v>223</v>
      </c>
    </row>
    <row r="5" spans="3:24">
      <c r="C5" t="s">
        <v>224</v>
      </c>
      <c r="I5" t="s">
        <v>236</v>
      </c>
      <c r="Q5" t="s">
        <v>234</v>
      </c>
    </row>
    <row r="6" spans="3:24">
      <c r="C6" t="s">
        <v>235</v>
      </c>
      <c r="I6" t="s">
        <v>237</v>
      </c>
      <c r="Q6" t="s">
        <v>208</v>
      </c>
      <c r="S6" t="s">
        <v>209</v>
      </c>
    </row>
    <row r="7" spans="3:24">
      <c r="Q7" t="s">
        <v>210</v>
      </c>
    </row>
    <row r="8" spans="3:24">
      <c r="C8" t="s">
        <v>227</v>
      </c>
      <c r="Q8" t="s">
        <v>211</v>
      </c>
    </row>
    <row r="9" spans="3:24">
      <c r="C9" t="s">
        <v>231</v>
      </c>
      <c r="I9" t="s">
        <v>237</v>
      </c>
      <c r="Q9" t="s">
        <v>229</v>
      </c>
      <c r="X9" t="s">
        <v>230</v>
      </c>
    </row>
    <row r="10" spans="3:24">
      <c r="C10" t="s">
        <v>226</v>
      </c>
      <c r="Q10" t="s">
        <v>212</v>
      </c>
    </row>
    <row r="11" spans="3:24">
      <c r="C11" t="s">
        <v>228</v>
      </c>
      <c r="I11" t="s">
        <v>236</v>
      </c>
      <c r="Q11" t="s">
        <v>213</v>
      </c>
    </row>
    <row r="12" spans="3:24">
      <c r="Q12" t="s">
        <v>214</v>
      </c>
    </row>
    <row r="13" spans="3:24">
      <c r="C13" t="s">
        <v>232</v>
      </c>
      <c r="Q13" t="s">
        <v>215</v>
      </c>
      <c r="S13" t="s">
        <v>216</v>
      </c>
    </row>
    <row r="14" spans="3:24">
      <c r="C14" t="s">
        <v>233</v>
      </c>
      <c r="I14" t="s">
        <v>238</v>
      </c>
      <c r="Q14" t="s">
        <v>217</v>
      </c>
      <c r="S14" t="s">
        <v>218</v>
      </c>
    </row>
    <row r="15" spans="3:24">
      <c r="Q15" t="s">
        <v>219</v>
      </c>
      <c r="R15" t="s">
        <v>220</v>
      </c>
    </row>
    <row r="16" spans="3:24">
      <c r="Q16" t="s">
        <v>221</v>
      </c>
      <c r="S16" t="s">
        <v>222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2"/>
  <sheetViews>
    <sheetView workbookViewId="0">
      <selection activeCell="O23" sqref="O23"/>
    </sheetView>
  </sheetViews>
  <sheetFormatPr defaultColWidth="4.125" defaultRowHeight="18.75"/>
  <sheetData>
    <row r="2" spans="3:3">
      <c r="C2" t="s">
        <v>168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概要</vt:lpstr>
      <vt:lpstr>作業工数見積もり</vt:lpstr>
      <vt:lpstr>カレンダー</vt:lpstr>
      <vt:lpstr>日記</vt:lpstr>
      <vt:lpstr>メモ</vt:lpstr>
      <vt:lpstr>雑用</vt:lpstr>
      <vt:lpstr>仕様書①</vt:lpstr>
      <vt:lpstr>仕様書②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2026-06-13T11:00:43Z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