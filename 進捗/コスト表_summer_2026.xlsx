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3A114082-4E26-45FF-9732-45AFD550A47F}" xr6:coauthVersionLast="47" xr6:coauthVersionMax="47" xr10:uidLastSave="{00000000-0000-0000-0000-000000000000}"/>
  <bookViews>
    <workbookView xWindow="6000" yWindow="73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インターン中気になったこと" sheetId="18" r:id="rId5"/>
    <sheet name="フィードバック" sheetId="19" r:id="rId6"/>
    <sheet name="Sheet1" sheetId="16" r:id="rId7"/>
    <sheet name="メモ" sheetId="9" r:id="rId8"/>
    <sheet name="雑用" sheetId="10" r:id="rId9"/>
    <sheet name="仕様書①" sheetId="13" r:id="rId10"/>
    <sheet name="仕様書②" sheetId="15" r:id="rId11"/>
    <sheet name="クラス設計" sheetId="14" r:id="rId12"/>
    <sheet name="Sheet2" sheetId="17" r:id="rId13"/>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<sst xmlns="http://schemas.openxmlformats.org/spreadsheetml/2006/main" count="917" uniqueCount="654">
  <si>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</si>
  <si>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</si>
  <si>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</si>
  <si>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</si>
  <si>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</si>
  <si>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</si>
  <si>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</si>
  <si>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</si>
  <si>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</si>
  <si>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</si>
  <si>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</si>
  <si>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</si>
  <si>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</si>
  <si>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</si>
  <si>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</si>
  <si>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</si>
  <si>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</si>
  <si>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</si>
  <si>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</si>
  <si>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</si>
  <si>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</si>
  <si>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</si>
  <si>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</si>
  <si>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</si>
  <si>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</si>
  <si>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</si>
  <si>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</si>
  <si>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</si>
  <si>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</si>
  <si>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</si>
  <si>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</si>
  <si>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</si>
  <si>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</si>
  <si>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</si>
  <si>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</si>
  <si>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</si>
  <si>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</si>
  <si>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</si>
  <si>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</si>
  <si>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</si>
  <si>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</si>
  <si>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</si>
  <si>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</si>
  <si>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</si>
  <si>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</si>
  <si>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</si>
  <si>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</si>
  <si>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</si>
  <si>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</si>
  <si>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</si>
  <si>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</si>
  <si>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</si>
  <si>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</si>
  <si>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</si>
  <si>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</si>
  <si>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</si>
  <si>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</si>
  <si>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</si>
  <si>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</si>
  <si>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</si>
  <si>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</si>
  <si>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</si>
  <si>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</si>
  <si>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</si>
  <si>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</si>
  <si>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</si>
  <si>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</si>
  <si>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</si>
  <si>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</si>
  <si>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</si>
  <si>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</si>
  <si>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</si>
  <si>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</si>
  <si>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</si>
  <si>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</si>
  <si>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</si>
  <si>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</si>
  <si>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</si>
  <si>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</si>
  <si>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</si>
  <si>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</si>
  <si>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</si>
  <si>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</si>
  <si>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</si>
  <si>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</si>
  <si>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</si>
  <si>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</si>
  <si>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</si>
  <si>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</si>
  <si>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</si>
  <si>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</si>
  <si>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</si>
  <si>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</si>
  <si>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</si>
  <si>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</si>
  <si>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</si>
  <si>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</si>
  <si>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</si>
  <si>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</si>
  <si>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</si>
  <si>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</si>
  <si>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</si>
  <si>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</si>
  <si>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</si>
  <si>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</si>
  <si>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</si>
  <si>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</si>
  <si>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</si>
  <si>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</si>
  <si>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</si>
  <si>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</si>
  <si>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</si>
  <si>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</si>
  <si>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</si>
  <si>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</si>
  <si>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</si>
  <si>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</si>
  <si>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</si>
  <si>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</si>
  <si>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</si>
  <si>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</si>
  <si>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</si>
  <si>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</si>
  <si>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</si>
  <si>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</si>
  <si>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</si>
  <si>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</si>
  <si>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</si>
  <si>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</si>
  <si>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</si>
  <si>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</si>
  <si>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</si>
  <si>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</si>
  <si>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</si>
  <si>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</si>
  <si>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</si>
  <si>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</si>
  <si>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</si>
  <si>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</si>
  <si>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</si>
  <si>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</si>
  <si>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</si>
  <si>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</si>
  <si>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</si>
  <si>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</si>
  <si>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</si>
  <si>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</si>
  <si>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</si>
  <si>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</si>
  <si>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</si>
  <si>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</si>
  <si>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</si>
  <si>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</si>
  <si>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</si>
  <si>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</si>
  <si>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</si>
  <si>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</si>
  <si>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</si>
  <si>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</si>
  <si>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</si>
  <si>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</si>
  <si>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</si>
  <si>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</si>
  <si>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</si>
  <si>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</si>
  <si>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</si>
  <si>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</si>
  <si>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</si>
  <si>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</si>
  <si>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</si>
  <si>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</si>
  <si>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</si>
  <si>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</si>
  <si>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</si>
  <si>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</si>
  <si>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</si>
  <si>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</si>
  <si>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</si>
  <si>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</si>
  <si>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</si>
  <si>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</si>
  <si>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</si>
  <si>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</si>
  <si>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</si>
  <si>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</si>
  <si>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</si>
  <si>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</si>
  <si>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</si>
  <si>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</si>
  <si>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</si>
  <si>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</si>
  <si>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</si>
  <si>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</si>
  <si>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</si>
  <si>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</si>
  <si>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</si>
  <si>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</si>
  <si>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</si>
  <si>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</si>
  <si>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</si>
  <si>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</si>
  <si>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</si>
  <si>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</si>
  <si>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</si>
  <si>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</si>
  <si>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</si>
  <si>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</si>
  <si>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</si>
  <si>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</si>
  <si>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</si>
  <si>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</si>
  <si>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</si>
  <si>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</si>
  <si>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</si>
  <si>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</si>
  <si>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</si>
  <si>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</si>
  <si>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</si>
  <si>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</si>
  <si>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</si>
  <si>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</si>
  <si>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</si>
  <si>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</si>
  <si>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</si>
  <si>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</si>
  <si>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</si>
  <si>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</si>
  <si>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</si>
  <si>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</si>
  <si>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</si>
  <si>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</si>
  <si>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</si>
  <si>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</si>
  <si>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</si>
  <si>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</si>
  <si>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</si>
  <si>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</si>
  <si>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</si>
  <si>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</si>
  <si>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</si>
  <si>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</si>
  <si>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</si>
  <si>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</si>
  <si>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</si>
  <si>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</si>
  <si>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</si>
  <si>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</si>
  <si>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</si>
  <si>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</si>
  <si>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</si>
  <si>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</si>
  <si>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</si>
  <si>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</si>
  <si>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</si>
  <si>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</si>
  <si>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</si>
  <si>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</si>
  <si>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</si>
  <si>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</si>
  <si>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</si>
  <si>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</si>
  <si>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</si>
  <si>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</si>
  <si>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</si>
  <si>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</si>
  <si>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</si>
  <si>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</si>
  <si>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</si>
  <si>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</si>
  <si>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</si>
  <si>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</si>
  <si>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</si>
  <si>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</si>
  <si>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</si>
  <si>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</si>
  <si>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</si>
  <si>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</si>
  <si>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</si>
  <si>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</si>
  <si>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</si>
  <si>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</si>
  <si>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</si>
  <si>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</si>
  <si>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</si>
  <si>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</si>
  <si>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</si>
  <si>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</si>
  <si>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</si>
  <si>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</si>
  <si>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</si>
  <si>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</si>
  <si>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</si>
  <si>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</si>
  <si>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</si>
  <si>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</si>
  <si>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</si>
  <si>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</si>
  <si>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</si>
  <si>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</si>
  <si>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</si>
  <si>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</si>
  <si>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</si>
  <si>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</si>
  <si>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</si>
  <si>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</si>
  <si>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</si>
  <si>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</si>
  <si>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</si>
  <si>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</si>
  <si>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</si>
  <si>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</si>
  <si>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</si>
  <si>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</si>
  <si>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</si>
  <si>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</si>
  <si>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</si>
  <si>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</si>
  <si>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</si>
  <si>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</si>
  <si>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</si>
  <si>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</si>
  <si>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</si>
  <si>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</si>
  <si>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</si>
  <si>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</si>
  <si>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</si>
  <si>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</si>
  <si>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</si>
  <si>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</si>
  <si>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</si>
  <si>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</si>
  <si>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</si>
  <si>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</si>
  <si>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</si>
  <si>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</si>
  <si>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</si>
  <si>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</si>
  <si>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</si>
  <si>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</si>
  <si>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</si>
  <si>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</si>
  <si>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</si>
  <si>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</si>
  <si>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</si>
  <si>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</si>
  <si>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</si>
  <si>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</si>
  <si>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</si>
  <si>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</si>
  <si>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</si>
  <si>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</si>
  <si>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</si>
  <si>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</si>
  <si>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</si>
  <si>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</si>
  <si>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</si>
  <si>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</si>
  <si>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</si>
  <si>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</si>
  <si>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</si>
  <si>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</si>
  <si>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</si>
  <si>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</si>
  <si>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</si>
  <si>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</si>
  <si>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</si>
  <si>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</si>
  <si>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</si>
  <si>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</si>
  <si>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</si>
  <si>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</si>
  <si>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</si>
  <si>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</si>
  <si>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</si>
  <si>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</si>
  <si>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</si>
  <si>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</si>
  <si>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</si>
  <si>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</si>
  <si>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</si>
  <si>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</si>
  <si>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</si>
  <si>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</si>
  <si>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</si>
  <si>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</si>
  <si>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</si>
  <si>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</si>
  <si>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</si>
  <si>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</si>
  <si>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</si>
  <si>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</si>
  <si>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</si>
  <si>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</si>
  <si>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</si>
  <si>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</si>
  <si>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</si>
  <si>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</si>
  <si>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</si>
  <si>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</si>
  <si>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</si>
  <si>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</si>
  <si>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</si>
  <si>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</si>
  <si>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</si>
  <si>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</si>
  <si>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</si>
  <si>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</si>
  <si>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</si>
  <si>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</si>
  <si>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</si>
  <si>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</si>
  <si>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</si>
  <si>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</si>
  <si>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</si>
  <si>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</si>
  <si>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</si>
  <si>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</si>
  <si>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</si>
  <si>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</si>
  <si>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</si>
  <si>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</si>
  <si>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</si>
  <si>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</si>
  <si>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</si>
  <si>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</si>
  <si>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</si>
  <si>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</si>
  <si>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</si>
  <si>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</si>
  <si>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</si>
  <si>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</si>
  <si>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</si>
  <si>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</si>
  <si>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</si>
  <si>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</si>
  <si>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</si>
  <si>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</si>
  <si>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</si>
  <si>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</si>
  <si>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</si>
  <si>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</si>
  <si>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</si>
  <si>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</si>
  <si>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</si>
  <si>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</si>
  <si>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</si>
  <si>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</si>
  <si>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</si>
  <si>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</si>
  <si>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</si>
  <si>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</si>
  <si>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</si>
  <si>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</si>
  <si>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</si>
  <si>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</si>
  <si>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</si>
  <si>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</si>
  <si>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</si>
  <si>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</si>
  <si>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</si>
  <si>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</si>
  <si>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</si>
  <si>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</si>
  <si>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</si>
  <si>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</si>
  <si>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</si>
  <si>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</si>
  <si>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</si>
  <si>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</si>
  <si>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</si>
  <si>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</si>
  <si>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</si>
  <si>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</si>
  <si>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</si>
  <si>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</si>
  <si>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</si>
  <si>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</si>
  <si>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</si>
  <si>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</si>
  <si>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</si>
  <si>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</si>
  <si>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</si>
  <si>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</si>
  <si>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</si>
  <si>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</si>
  <si>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</si>
  <si>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</si>
  <si>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</si>
  <si>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</si>
  <si>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</si>
  <si>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</si>
  <si>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</si>
  <si>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</si>
  <si>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</si>
  <si>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</si>
  <si>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</si>
  <si>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</si>
  <si>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</si>
  <si>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</si>
  <si>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</si>
  <si>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</si>
  <si>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</si>
  <si>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</si>
  <si>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</si>
  <si>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</si>
  <si>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</si>
  <si>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</si>
  <si>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</si>
  <si>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</si>
  <si>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</si>
  <si>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</si>
  <si>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</si>
  <si>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</si>
  <si>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</si>
  <si>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</si>
  <si>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</si>
  <si>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</si>
  <si>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</si>
  <si>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</si>
  <si>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</si>
  <si>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</si>
  <si>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</si>
  <si>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</si>
  <si>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</si>
  <si>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</si>
  <si>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</si>
  <si>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</si>
  <si>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</si>
  <si>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</si>
  <si>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</si>
  <si>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</si>
  <si>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</si>
  <si>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</si>
  <si>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</si>
  <si>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</si>
  <si>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</si>
  <si>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</si>
  <si>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</si>
  <si>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</si>
  <si>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</si>
  <si>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</si>
  <si>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</si>
  <si>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</si>
  <si>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</si>
  <si>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</si>
  <si>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</si>
  <si>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</si>
  <si>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</si>
  <si>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boss登場時のカメラ演出</t>
    <rPh sb="4" eb="7">
      <t>トウジョウジ</t>
    </rPh>
    <rPh sb="11" eb="13">
      <t>エンシュツ</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</si>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</sst>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470</v>
      </c>
      <c r="D5" s="3">
        <f ca="1" xml:space="preserve"> C4 / C5</f>
        <v>5.3191489361702128E-2</v>
      </c>
    </row>
    <row r="6" spans="2:5">
      <c r="B6" s="7" t="s">
        <v>9</v>
      </c>
      <c r="C6" s="1">
        <f>DATE(2024,11,7)</f>
        <v>45603</v>
      </c>
    </row>
    <row r="7" spans="2:5">
      <c r="B7" s="8" t="s">
        <v>11</v>
      </c>
      <c r="C7" s="1">
        <f ca="1">TODAY()</f>
        <v>46260</v>
      </c>
    </row>
    <row r="9" spans="2:5">
      <c r="D9" t="s">
        <v>12</v>
      </c>
      <c r="E9" t="s">
        <v>13</v>
      </c>
    </row>
    <row r="10" spans="2:5">
      <c r="B10" s="4" t="s">
        <v>15</v>
      </c>
      <c r="C10" s="1">
        <f>DATE(2024,12,20)</f>
        <v>45646</v>
      </c>
      <c r="D10" s="2">
        <f ca="1">NETWORKDAYS(TODAY(),C10)</f>
        <v>-439</v>
      </c>
      <c r="E10" s="3">
        <f ca="1">($C$3 - $C$4) / D10</f>
        <v>-0.38041002277904329</v>
      </c>
    </row>
    <row r="11" spans="2:5">
      <c r="B11" s="9" t="s">
        <v>16</v>
      </c>
      <c r="C11" s="1">
        <f>DATE(2025,1,17)</f>
        <v>45674</v>
      </c>
      <c r="D11" s="2">
        <f ca="1">NETWORKDAYS(TODAY(),C11)</f>
        <v>-419</v>
      </c>
      <c r="E11" s="3">
        <f ca="1">($C$3 - $C$4) / D11</f>
        <v>-0.39856801909307876</v>
      </c>
    </row>
    <row r="12" spans="2:5">
      <c r="B12" s="6" t="s">
        <v>17</v>
      </c>
      <c r="C12" s="1">
        <f>DATE(2025,2,3)</f>
        <v>45691</v>
      </c>
      <c r="D12" s="2">
        <f ca="1">NETWORKDAYS(TODAY(),C12)</f>
        <v>-408</v>
      </c>
      <c r="E12" s="3">
        <f ca="1">($C$3 - $C$4) / D12</f>
        <v>-0.40931372549019607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5</v>
      </c>
      <c r="N3" s="10">
        <f ca="1">K3/M3</f>
        <v>20.2</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-40</v>
      </c>
      <c r="N4" s="10">
        <f ca="1">J4/M4</f>
        <v>-2.35</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-16</v>
      </c>
      <c r="N5" s="10">
        <f t="shared" ref="N5:N6" ca="1" si="1">J5/M5</f>
        <v>-5.125</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1</v>
      </c>
      <c r="N6" s="10">
        <f t="shared" ca="1" si="1"/>
        <v>16</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75"/>
  <sheetViews>
    <sheetView tabSelected="1" topLeftCell="A264" workbookViewId="0">
      <selection activeCell="C272" sqref="C27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557</v>
      </c>
    </row>
    <row r="229" spans="2:4">
      <c r="B229" t="s">
        <v>555</v>
      </c>
      <c r="C229" s="57" t="s">
        <v>546</v>
      </c>
    </row>
    <row r="230" spans="2:4">
      <c r="B230" t="s">
        <v>554</v>
      </c>
      <c r="C230" s="57" t="s">
        <v>547</v>
      </c>
    </row>
    <row r="231" spans="2:4">
      <c r="B231" t="s">
        <v>554</v>
      </c>
      <c r="C231" s="57" t="s">
        <v>548</v>
      </c>
    </row>
    <row r="232" spans="2:4">
      <c r="B232" t="s">
        <v>556</v>
      </c>
      <c r="C232" t="s">
        <v>549</v>
      </c>
    </row>
    <row r="233" spans="2:4">
      <c r="B233" t="s">
        <v>556</v>
      </c>
      <c r="C233" t="s">
        <v>551</v>
      </c>
    </row>
    <row r="234" spans="2:4">
      <c r="B234" t="s">
        <v>555</v>
      </c>
      <c r="C234" t="s">
        <v>552</v>
      </c>
    </row>
    <row r="235" spans="2:4">
      <c r="B235" t="s">
        <v>555</v>
      </c>
      <c r="C235" t="s">
        <v>553</v>
      </c>
    </row>
    <row r="236" spans="2:4">
      <c r="B236" t="s">
        <v>556</v>
      </c>
      <c r="C236" t="s">
        <v>550</v>
      </c>
    </row>
    <row r="237" spans="2:4">
      <c r="B237" t="s">
        <v>555</v>
      </c>
      <c r="C237" t="s">
        <v>558</v>
      </c>
    </row>
    <row r="238" spans="2:4">
      <c r="B238" t="s">
        <v>614</v>
      </c>
      <c r="C238" s="57" t="s">
        <v>613</v>
      </c>
    </row>
    <row r="239" spans="2:4">
      <c r="B239" t="s">
        <v>614</v>
      </c>
      <c r="C239" s="57" t="s">
        <v>616</v>
      </c>
    </row>
    <row r="240" spans="2:4">
      <c r="B240" t="s">
        <v>615</v>
      </c>
      <c r="C240" t="s">
        <v>612</v>
      </c>
    </row>
    <row r="241" spans="1:3">
      <c r="A241" s="1">
        <v>46258</v>
      </c>
      <c r="C241" t="s">
        <v>530</v>
      </c>
    </row>
    <row r="242" spans="1:3">
      <c r="C242" t="s">
        <v>563</v>
      </c>
    </row>
    <row r="243" spans="1:3">
      <c r="C243" t="s">
        <v>564</v>
      </c>
    </row>
    <row r="245" spans="1:3">
      <c r="C245" t="s">
        <v>571</v>
      </c>
    </row>
    <row r="246" spans="1:3">
      <c r="C246" t="s">
        <v>572</v>
      </c>
    </row>
    <row r="247" spans="1:3">
      <c r="C247" t="s">
        <v>594</v>
      </c>
    </row>
    <row r="248" spans="1:3">
      <c r="C248" t="s">
        <v>595</v>
      </c>
    </row>
    <row r="249" spans="1:3">
      <c r="C249" t="s">
        <v>610</v>
      </c>
    </row>
    <row r="250" spans="1:3">
      <c r="A250" s="1">
        <v>46259</v>
      </c>
      <c r="C250" t="s">
        <v>611</v>
      </c>
    </row>
    <row r="251" spans="1:3">
      <c r="C251" t="s">
        <v>617</v>
      </c>
    </row>
    <row r="252" spans="1:3">
      <c r="C252" t="s">
        <v>618</v>
      </c>
    </row>
    <row r="253" spans="1:3">
      <c r="C253" t="s">
        <v>619</v>
      </c>
    </row>
    <row r="254" spans="1:3">
      <c r="C254" t="s">
        <v>633</v>
      </c>
    </row>
    <row r="255" spans="1:3">
      <c r="C255" t="s">
        <v>634</v>
      </c>
    </row>
    <row r="256" spans="1:3">
      <c r="C256" t="s">
        <v>635</v>
      </c>
    </row>
    <row r="257" spans="1:3">
      <c r="C257" t="s">
        <v>636</v>
      </c>
    </row>
    <row r="258" spans="1:3">
      <c r="C258" t="s">
        <v>637</v>
      </c>
    </row>
    <row r="259" spans="1:3">
      <c r="C259" t="s">
        <v>638</v>
      </c>
    </row>
    <row r="260" spans="1:3">
      <c r="C260" t="s">
        <v>639</v>
      </c>
    </row>
    <row r="262" spans="1:3">
      <c r="C262" t="s">
        <v>640</v>
      </c>
    </row>
    <row r="263" spans="1:3">
      <c r="C263" t="s">
        <v>641</v>
      </c>
    </row>
    <row r="264" spans="1:3">
      <c r="A264" s="1">
        <v>46260</v>
      </c>
      <c r="C264" t="s">
        <v>642</v>
      </c>
    </row>
    <row r="265" spans="1:3">
      <c r="C265" t="s">
        <v>643</v>
      </c>
    </row>
    <row r="266" spans="1:3">
      <c r="C266" t="s">
        <v>644</v>
      </c>
    </row>
    <row r="267" spans="1:3">
      <c r="C267" t="s">
        <v>645</v>
      </c>
    </row>
    <row r="268" spans="1:3">
      <c r="C268" t="s">
        <v>646</v>
      </c>
    </row>
    <row r="269" spans="1:3">
      <c r="C269" t="s">
        <v>647</v>
      </c>
    </row>
    <row r="270" spans="1:3">
      <c r="C270" t="s">
        <v>648</v>
      </c>
    </row>
    <row r="271" spans="1:3">
      <c r="C271" t="s">
        <v>649</v>
      </c>
    </row>
    <row r="272" spans="1:3">
      <c r="C272" t="s">
        <v>650</v>
      </c>
    </row>
    <row r="274" spans="2:3">
      <c r="C274" t="s">
        <v>651</v>
      </c>
    </row>
    <row r="275" spans="2:3">
      <c r="B275" s="58" t="s">
        <v>653</v>
      </c>
      <c r="C275" s="58" t="s">
        <v>652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568</v>
      </c>
      <c r="B2" t="s">
        <v>565</v>
      </c>
    </row>
    <row r="3" spans="1:2">
      <c r="B3" t="s">
        <v>566</v>
      </c>
    </row>
    <row r="4" spans="1:2">
      <c r="B4" t="s">
        <v>567</v>
      </c>
    </row>
    <row r="5" spans="1:2">
      <c r="A5" t="s">
        <v>568</v>
      </c>
      <c r="B5" t="s">
        <v>569</v>
      </c>
    </row>
    <row r="6" spans="1:2">
      <c r="B6" t="s">
        <v>570</v>
      </c>
    </row>
    <row r="9" spans="1:2">
      <c r="A9" t="s">
        <v>597</v>
      </c>
      <c r="B9" t="s">
        <v>596</v>
      </c>
    </row>
    <row r="11" spans="1:2">
      <c r="B11" t="s">
        <v>598</v>
      </c>
    </row>
    <row r="13" spans="1:2">
      <c r="B13" t="s">
        <v>599</v>
      </c>
    </row>
    <row r="14" spans="1:2">
      <c r="B14" t="s">
        <v>600</v>
      </c>
    </row>
    <row r="15" spans="1:2">
      <c r="B15" t="s">
        <v>601</v>
      </c>
    </row>
    <row r="16" spans="1:2">
      <c r="B16" t="s">
        <v>602</v>
      </c>
    </row>
    <row r="18" spans="2:2">
      <c r="B18" t="s">
        <v>603</v>
      </c>
    </row>
    <row r="19" spans="2:2">
      <c r="B19" t="s">
        <v>604</v>
      </c>
    </row>
    <row r="20" spans="2:2">
      <c r="B20" t="s">
        <v>605</v>
      </c>
    </row>
    <row r="21" spans="2:2">
      <c r="B21" t="s">
        <v>606</v>
      </c>
    </row>
    <row r="22" spans="2:2">
      <c r="B22" t="s">
        <v>607</v>
      </c>
    </row>
    <row r="24" spans="2:2">
      <c r="B24" t="s">
        <v>608</v>
      </c>
    </row>
    <row r="25" spans="2:2">
      <c r="B25" t="s">
        <v>609</v>
      </c>
    </row>
    <row r="27" spans="2:2">
      <c r="B27" t="s">
        <v>620</v>
      </c>
    </row>
    <row r="28" spans="2:2">
      <c r="B28" t="s">
        <v>621</v>
      </c>
    </row>
    <row r="29" spans="2:2">
      <c r="B29" t="s">
        <v>622</v>
      </c>
    </row>
    <row r="31" spans="2:2">
      <c r="B31" t="s">
        <v>623</v>
      </c>
    </row>
    <row r="32" spans="2:2">
      <c r="B32" t="s">
        <v>627</v>
      </c>
    </row>
    <row r="33" spans="2:2">
      <c r="B33" t="s">
        <v>628</v>
      </c>
    </row>
    <row r="35" spans="2:2">
      <c r="B35" t="s">
        <v>624</v>
      </c>
    </row>
    <row r="36" spans="2:2">
      <c r="B36" t="s">
        <v>625</v>
      </c>
    </row>
    <row r="38" spans="2:2">
      <c r="B38" t="s">
        <v>626</v>
      </c>
    </row>
    <row r="39" spans="2:2">
      <c r="B39" t="s">
        <v>629</v>
      </c>
    </row>
    <row r="41" spans="2:2">
      <c r="B41" t="s">
        <v>630</v>
      </c>
    </row>
    <row r="43" spans="2:2">
      <c r="B43" t="s">
        <v>631</v>
      </c>
    </row>
    <row r="45" spans="2:2">
      <c r="B45" t="s">
        <v>632</v>
      </c>
    </row>
    <row r="47" spans="2:2">
      <c r="B47" t="s">
        <v>640</v>
      </c>
    </row>
    <row r="48" spans="2:2">
      <c r="B48" t="s">
        <v>641</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topLeftCell="A19" workbookViewId="0">
      <selection activeCell="J7" sqref="J7"/>
    </sheetView>
  </sheetViews>
  <sheetFormatPr defaultRowHeight="18.75"/>
  <sheetData>
    <row r="2" spans="2:2">
      <c r="B2" s="55" t="s">
        <v>573</v>
      </c>
    </row>
    <row r="3" spans="2:2">
      <c r="B3" s="56" t="s">
        <v>574</v>
      </c>
    </row>
    <row r="4" spans="2:2">
      <c r="B4" s="56" t="s">
        <v>575</v>
      </c>
    </row>
    <row r="5" spans="2:2">
      <c r="B5" s="56" t="s">
        <v>576</v>
      </c>
    </row>
    <row r="6" spans="2:2">
      <c r="B6" s="56" t="s">
        <v>577</v>
      </c>
    </row>
    <row r="7" spans="2:2">
      <c r="B7" s="56" t="s">
        <v>578</v>
      </c>
    </row>
    <row r="8" spans="2:2">
      <c r="B8" s="56" t="s">
        <v>579</v>
      </c>
    </row>
    <row r="9" spans="2:2">
      <c r="B9" s="56" t="s">
        <v>580</v>
      </c>
    </row>
    <row r="10" spans="2:2">
      <c r="B10" s="56" t="s">
        <v>581</v>
      </c>
    </row>
    <row r="11" spans="2:2">
      <c r="B11" s="56" t="s">
        <v>582</v>
      </c>
    </row>
    <row r="12" spans="2:2">
      <c r="B12" s="56" t="s">
        <v>583</v>
      </c>
    </row>
    <row r="13" spans="2:2">
      <c r="B13" s="56" t="s">
        <v>584</v>
      </c>
    </row>
    <row r="14" spans="2:2">
      <c r="B14" s="56" t="s">
        <v>585</v>
      </c>
    </row>
    <row r="15" spans="2:2">
      <c r="B15" s="56" t="s">
        <v>586</v>
      </c>
    </row>
    <row r="16" spans="2:2">
      <c r="B16" s="56" t="s">
        <v>587</v>
      </c>
    </row>
    <row r="17" spans="2:2">
      <c r="B17" s="56" t="s">
        <v>588</v>
      </c>
    </row>
    <row r="18" spans="2:2">
      <c r="B18" s="56" t="s">
        <v>589</v>
      </c>
    </row>
    <row r="19" spans="2:2">
      <c r="B19" s="56" t="s">
        <v>590</v>
      </c>
    </row>
    <row r="20" spans="2:2">
      <c r="B20" s="56" t="s">
        <v>591</v>
      </c>
    </row>
    <row r="21" spans="2:2">
      <c r="B21" s="56" t="s">
        <v>592</v>
      </c>
    </row>
    <row r="22" spans="2:2">
      <c r="B22" s="56" t="s">
        <v>593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559</v>
      </c>
    </row>
    <row r="3" spans="2:2">
      <c r="B3" t="s">
        <v>560</v>
      </c>
    </row>
    <row r="4" spans="2:2">
      <c r="B4" t="s">
        <v>561</v>
      </c>
    </row>
    <row r="5" spans="2:2">
      <c r="B5" t="s">
        <v>562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概要</vt:lpstr>
      <vt:lpstr>作業工数見積もり</vt:lpstr>
      <vt:lpstr>カレンダー</vt:lpstr>
      <vt:lpstr>日記</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2026-08-26T09:03:18Z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