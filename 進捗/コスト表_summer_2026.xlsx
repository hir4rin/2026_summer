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91299C60-BE36-483A-B1D0-D179F9CCA999}" xr6:coauthVersionLast="47" xr6:coauthVersionMax="47" xr10:uidLastSave="{00000000-0000-0000-0000-000000000000}"/>
  <bookViews>
    <workbookView xWindow="3510" yWindow="3510" windowWidth="20625" windowHeight="1558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<sst xmlns="http://schemas.openxmlformats.org/spreadsheetml/2006/main" count="793" uniqueCount="541">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</sst>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467</v>
      </c>
      <c r="D5" s="3">
        <f ca="1" xml:space="preserve"> C4 / C5</f>
        <v>5.353319057815846E-2</v>
      </c>
    </row>
    <row r="6" spans="2:5">
      <c r="B6" s="7" t="s">
        <v>9</v>
      </c>
      <c r="C6" s="1">
        <f>DATE(2024,11,7)</f>
        <v>45603</v>
      </c>
    </row>
    <row r="7" spans="2:5">
      <c r="B7" s="8" t="s">
        <v>11</v>
      </c>
      <c r="C7" s="1">
        <f ca="1">TODAY()</f>
        <v>46256</v>
      </c>
    </row>
    <row r="9" spans="2:5">
      <c r="D9" t="s">
        <v>12</v>
      </c>
      <c r="E9" t="s">
        <v>13</v>
      </c>
    </row>
    <row r="10" spans="2:5">
      <c r="B10" s="4" t="s">
        <v>15</v>
      </c>
      <c r="C10" s="1">
        <f>DATE(2024,12,20)</f>
        <v>45646</v>
      </c>
      <c r="D10" s="2">
        <f ca="1">NETWORKDAYS(TODAY(),C10)</f>
        <v>-436</v>
      </c>
      <c r="E10" s="3">
        <f ca="1">($C$3 - $C$4) / D10</f>
        <v>-0.3830275229357798</v>
      </c>
    </row>
    <row r="11" spans="2:5">
      <c r="B11" s="9" t="s">
        <v>16</v>
      </c>
      <c r="C11" s="1">
        <f>DATE(2025,1,17)</f>
        <v>45674</v>
      </c>
      <c r="D11" s="2">
        <f ca="1">NETWORKDAYS(TODAY(),C11)</f>
        <v>-416</v>
      </c>
      <c r="E11" s="3">
        <f ca="1">($C$3 - $C$4) / D11</f>
        <v>-0.40144230769230771</v>
      </c>
    </row>
    <row r="12" spans="2:5">
      <c r="B12" s="6" t="s">
        <v>17</v>
      </c>
      <c r="C12" s="1">
        <f>DATE(2025,2,3)</f>
        <v>45691</v>
      </c>
      <c r="D12" s="2">
        <f ca="1">NETWORKDAYS(TODAY(),C12)</f>
        <v>-405</v>
      </c>
      <c r="E12" s="3">
        <f ca="1">($C$3 - $C$4) / D12</f>
        <v>-0.4123456790123457</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9</v>
      </c>
      <c r="N3" s="10">
        <f ca="1">K3/M3</f>
        <v>11.222222222222221</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-36</v>
      </c>
      <c r="N4" s="10">
        <f ca="1">J4/M4</f>
        <v>-2.6111111111111112</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-12</v>
      </c>
      <c r="N5" s="10">
        <f t="shared" ref="N5:N6" ca="1" si="1">J5/M5</f>
        <v>-6.833333333333333</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5</v>
      </c>
      <c r="N6" s="10">
        <f t="shared" ca="1" si="1"/>
        <v>3.2</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222"/>
  <sheetViews>
    <sheetView tabSelected="1" topLeftCell="A203" workbookViewId="0">
      <selection activeCell="C223" sqref="C223"/>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2026-08-22T11:45:32Z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