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1374A707-6858-4135-8401-FF1C9F178422}" xr6:coauthVersionLast="47" xr6:coauthVersionMax="47" xr10:uidLastSave="{00000000-0000-0000-0000-000000000000}"/>
  <bookViews>
    <workbookView xWindow="1500" yWindow="3840"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6" i="1"/>
  <c r="M5" i="1"/>
  <c r="M4" i="1"/>
  <c r="M3" i="1"/>
  <c r="K6" i="1"/>
  <c r="K5" i="1"/>
  <c r="K4" i="1"/>
  <c r="J6" i="1"/>
  <c r="J5" i="1"/>
  <c r="J4" i="1"/>
  <c r="L5" i="1"/>
  <c r="L6" i="1"/>
  <c r="L4" i="1"/>
  <c r="L3" i="1"/>
  <c r="C3" i="5"/>
  <c r="C4" i="5"/>
  <c r="C6" i="5"/>
  <c r="C7" i="5"/>
  <c r="C5" i="5" s="1"/>
  <c r="C10" i="5"/>
  <c r="D10" i="5"/>
  <c r="C11" i="5"/>
  <c r="D11" i="5"/>
  <c r="C12" i="5"/>
  <c r="D12" i="5"/>
  <c r="N6" i="1" l="1"/>
  <c r="N5" i="1"/>
  <c r="N4" i="1"/>
  <c r="J3" i="1"/>
  <c r="E12" i="5"/>
  <c r="D5" i="5"/>
  <c r="E10" i="5"/>
  <c r="E11" i="5"/>
</calcChain>
</file>

<file path=xl/sharedStrings.xml><?xml version="1.0" encoding="utf-8"?>
<sst xmlns="http://schemas.openxmlformats.org/spreadsheetml/2006/main" count="518" uniqueCount="308">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</sst>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SUM(作業工数見積もり!E3:E69)</f>
        <v>179</v>
      </c>
    </row>
    <row r="4" spans="2:5">
      <c r="B4" s="5" t="s">
        <v>6</v>
      </c>
      <c r="C4">
        <f>SUMIF(作業工数見積もり!G3:G19,"完了",作業工数見積もり!E3:E19)</f>
        <v>0</v>
      </c>
      <c r="D4" t="s">
        <v>7</v>
      </c>
    </row>
    <row r="5" spans="2:5">
      <c r="B5" s="6" t="s">
        <v>8</v>
      </c>
      <c r="C5" s="2">
        <f ca="1">NETWORKDAYS(C6,C7)</f>
        <v>428</v>
      </c>
      <c r="D5" s="3">
        <f ca="1" xml:space="preserve"> C4 / C5</f>
        <v>0</v>
      </c>
    </row>
    <row r="6" spans="2:5">
      <c r="B6" s="7" t="s">
        <v>9</v>
      </c>
      <c r="C6" s="1">
        <f>DATE(2024,11,7)</f>
        <v>45603</v>
      </c>
    </row>
    <row r="7" spans="2:5">
      <c r="B7" s="8" t="s">
        <v>11</v>
      </c>
      <c r="C7" s="1">
        <f ca="1">TODAY()</f>
        <v>46202</v>
      </c>
    </row>
    <row r="9" spans="2:5">
      <c r="D9" t="s">
        <v>12</v>
      </c>
      <c r="E9" t="s">
        <v>13</v>
      </c>
    </row>
    <row r="10" spans="2:5">
      <c r="B10" s="4" t="s">
        <v>15</v>
      </c>
      <c r="C10" s="1">
        <f>DATE(2024,12,20)</f>
        <v>45646</v>
      </c>
      <c r="D10" s="2">
        <f ca="1">NETWORKDAYS(TODAY(),C10)</f>
        <v>-397</v>
      </c>
      <c r="E10" s="3">
        <f ca="1">($C$3 - $C$4) / D10</f>
        <v>-0.45088161209068012</v>
      </c>
    </row>
    <row r="11" spans="2:5">
      <c r="B11" s="9" t="s">
        <v>16</v>
      </c>
      <c r="C11" s="1">
        <f>DATE(2025,1,17)</f>
        <v>45674</v>
      </c>
      <c r="D11" s="2">
        <f ca="1">NETWORKDAYS(TODAY(),C11)</f>
        <v>-377</v>
      </c>
      <c r="E11" s="3">
        <f ca="1">($C$3 - $C$4) / D11</f>
        <v>-0.47480106100795755</v>
      </c>
    </row>
    <row r="12" spans="2:5">
      <c r="B12" s="6" t="s">
        <v>17</v>
      </c>
      <c r="C12" s="1">
        <f>DATE(2025,2,3)</f>
        <v>45691</v>
      </c>
      <c r="D12" s="2">
        <f ca="1">NETWORKDAYS(TODAY(),C12)</f>
        <v>-366</v>
      </c>
      <c r="E12" s="3">
        <f ca="1">($C$3 - $C$4) / D12</f>
        <v>-0.48907103825136611</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8"/>
  <sheetViews>
    <sheetView topLeftCell="A4" zoomScale="85" zoomScaleNormal="85" workbookViewId="0">
      <selection activeCell="B28" sqref="B28"/>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296</v>
      </c>
      <c r="N2" s="10" t="s">
        <v>301</v>
      </c>
    </row>
    <row r="3" spans="1:14">
      <c r="A3" s="17" t="s">
        <v>35</v>
      </c>
      <c r="B3" s="10" t="s">
        <v>47</v>
      </c>
      <c r="C3" s="16" t="s">
        <v>5</v>
      </c>
      <c r="D3" s="16" t="s">
        <v>18</v>
      </c>
      <c r="E3" s="16">
        <v>0</v>
      </c>
      <c r="G3" s="16" t="s">
        <v>39</v>
      </c>
      <c r="I3" s="25" t="s">
        <v>61</v>
      </c>
      <c r="J3" s="10">
        <f>SUM(J4,J5,J6)</f>
        <v>179</v>
      </c>
      <c r="K3" s="10">
        <f>SUMIFS(E3:E48,G3:G48,"未着手")</f>
        <v>176</v>
      </c>
      <c r="L3" s="10">
        <f>SUM(F3:F36)</f>
        <v>1</v>
      </c>
      <c r="M3" s="10">
        <f ca="1">INT(J11 - TODAY())</f>
        <v>63</v>
      </c>
    </row>
    <row r="4" spans="1:14">
      <c r="A4" s="17" t="s">
        <v>35</v>
      </c>
      <c r="B4" s="10" t="s">
        <v>48</v>
      </c>
      <c r="C4" s="16" t="s">
        <v>14</v>
      </c>
      <c r="D4" s="16" t="s">
        <v>10</v>
      </c>
      <c r="E4" s="16">
        <v>0</v>
      </c>
      <c r="G4" s="16" t="s">
        <v>39</v>
      </c>
      <c r="I4" s="26" t="s">
        <v>28</v>
      </c>
      <c r="J4" s="29">
        <f>SUMIF(D3:D48,I4,E3:E48)</f>
        <v>104</v>
      </c>
      <c r="K4" s="10">
        <f>SUMIFS(E3:E48,G3:G48,"未着手",D3:D48,I4)</f>
        <v>101</v>
      </c>
      <c r="L4" s="10">
        <f>SUMIFS(F3:F36,D3:D36,I4)</f>
        <v>1</v>
      </c>
      <c r="M4" s="10">
        <f ca="1">INT(J12-TODAY())</f>
        <v>18</v>
      </c>
      <c r="N4" s="10">
        <f ca="1">J4/M4</f>
        <v>5.7777777777777777</v>
      </c>
    </row>
    <row r="5" spans="1:14">
      <c r="A5" s="17" t="s">
        <v>35</v>
      </c>
      <c r="B5" s="10" t="s">
        <v>49</v>
      </c>
      <c r="C5" s="16" t="s">
        <v>14</v>
      </c>
      <c r="D5" s="16" t="s">
        <v>10</v>
      </c>
      <c r="E5" s="16">
        <v>0</v>
      </c>
      <c r="G5" s="16" t="s">
        <v>39</v>
      </c>
      <c r="I5" s="27" t="s">
        <v>0</v>
      </c>
      <c r="J5" s="29">
        <f>SUMIF(D3:D48,I5,E3:E48)</f>
        <v>59</v>
      </c>
      <c r="K5" s="10">
        <f>SUMIFS(E3:E48,G3:G48,"未着手",D3:D48,I5)</f>
        <v>59</v>
      </c>
      <c r="L5" s="10">
        <f>SUMIFS(F4:F40,D4:D40,I5)</f>
        <v>0</v>
      </c>
      <c r="M5" s="10">
        <f t="shared" ref="M5:M6" ca="1" si="0">INT(J13-TODAY())</f>
        <v>42</v>
      </c>
      <c r="N5" s="10">
        <f t="shared" ref="N5:N6" ca="1" si="1">J5/M5</f>
        <v>1.4047619047619047</v>
      </c>
    </row>
    <row r="6" spans="1:14">
      <c r="A6" s="17" t="s">
        <v>35</v>
      </c>
      <c r="B6" s="10" t="s">
        <v>36</v>
      </c>
      <c r="C6" s="16" t="s">
        <v>14</v>
      </c>
      <c r="D6" s="16" t="s">
        <v>10</v>
      </c>
      <c r="E6" s="16">
        <v>0</v>
      </c>
      <c r="G6" s="16" t="s">
        <v>39</v>
      </c>
      <c r="I6" s="28" t="s">
        <v>29</v>
      </c>
      <c r="J6" s="29">
        <f>SUMIF(D3:D48,I6,E3:E48)</f>
        <v>16</v>
      </c>
      <c r="K6" s="10">
        <f>SUMIFS(E3:E48,G3:G48,"未着手",D3:D48,I6)</f>
        <v>16</v>
      </c>
      <c r="L6" s="10">
        <f>SUMIFS(F5:F40,D5:D40,I6)</f>
        <v>0</v>
      </c>
      <c r="M6" s="10">
        <f t="shared" ca="1" si="0"/>
        <v>59</v>
      </c>
      <c r="N6" s="10">
        <f t="shared" ca="1" si="1"/>
        <v>0.2711864406779661</v>
      </c>
    </row>
    <row r="7" spans="1:14">
      <c r="A7" s="18" t="s">
        <v>37</v>
      </c>
      <c r="B7" s="10" t="s">
        <v>70</v>
      </c>
      <c r="C7" s="16" t="s">
        <v>5</v>
      </c>
      <c r="D7" s="16" t="s">
        <v>18</v>
      </c>
      <c r="E7" s="16">
        <v>3</v>
      </c>
      <c r="G7" s="16" t="s">
        <v>39</v>
      </c>
    </row>
    <row r="8" spans="1:14" outlineLevel="1">
      <c r="A8" s="19" t="s">
        <v>44</v>
      </c>
      <c r="B8" s="10" t="s">
        <v>252</v>
      </c>
      <c r="C8" s="16" t="s">
        <v>5</v>
      </c>
      <c r="D8" s="16" t="s">
        <v>18</v>
      </c>
      <c r="E8" s="16">
        <v>6</v>
      </c>
      <c r="G8" s="16" t="s">
        <v>39</v>
      </c>
    </row>
    <row r="9" spans="1:14" outlineLevel="1">
      <c r="A9" s="19" t="s">
        <v>44</v>
      </c>
      <c r="B9" s="10" t="s">
        <v>253</v>
      </c>
      <c r="C9" s="16" t="s">
        <v>5</v>
      </c>
      <c r="D9" s="16" t="s">
        <v>18</v>
      </c>
      <c r="E9" s="16">
        <v>2</v>
      </c>
      <c r="G9" s="16" t="s">
        <v>39</v>
      </c>
    </row>
    <row r="10" spans="1:14" outlineLevel="1">
      <c r="A10" s="19" t="s">
        <v>44</v>
      </c>
      <c r="B10" s="10" t="s">
        <v>254</v>
      </c>
      <c r="C10" s="16" t="s">
        <v>5</v>
      </c>
      <c r="D10" s="16" t="s">
        <v>18</v>
      </c>
      <c r="E10" s="16">
        <v>12</v>
      </c>
      <c r="G10" s="16" t="s">
        <v>39</v>
      </c>
      <c r="I10" s="19" t="s">
        <v>296</v>
      </c>
    </row>
    <row r="11" spans="1:14" outlineLevel="1">
      <c r="A11" s="19" t="s">
        <v>44</v>
      </c>
      <c r="B11" s="10" t="s">
        <v>255</v>
      </c>
      <c r="C11" s="16" t="s">
        <v>259</v>
      </c>
      <c r="D11" s="16" t="s">
        <v>18</v>
      </c>
      <c r="E11" s="16">
        <v>3</v>
      </c>
      <c r="G11" s="16" t="s">
        <v>39</v>
      </c>
      <c r="I11" s="10" t="s">
        <v>297</v>
      </c>
      <c r="J11" s="51">
        <v>46265</v>
      </c>
    </row>
    <row r="12" spans="1:14">
      <c r="A12" s="19" t="s">
        <v>44</v>
      </c>
      <c r="B12" s="10" t="s">
        <v>256</v>
      </c>
      <c r="C12" s="16" t="s">
        <v>259</v>
      </c>
      <c r="D12" s="16" t="s">
        <v>18</v>
      </c>
      <c r="E12" s="16">
        <v>12</v>
      </c>
      <c r="G12" s="16" t="s">
        <v>39</v>
      </c>
      <c r="I12" s="10" t="s">
        <v>298</v>
      </c>
      <c r="J12" s="52">
        <v>46220</v>
      </c>
    </row>
    <row r="13" spans="1:14">
      <c r="A13" s="19" t="s">
        <v>44</v>
      </c>
      <c r="B13" s="10" t="s">
        <v>257</v>
      </c>
      <c r="C13" s="16" t="s">
        <v>5</v>
      </c>
      <c r="D13" s="16" t="s">
        <v>18</v>
      </c>
      <c r="E13" s="16">
        <v>1</v>
      </c>
      <c r="G13" s="16" t="s">
        <v>39</v>
      </c>
      <c r="I13" s="10" t="s">
        <v>299</v>
      </c>
      <c r="J13" s="52">
        <v>46244</v>
      </c>
    </row>
    <row r="14" spans="1:14">
      <c r="A14" s="19" t="s">
        <v>44</v>
      </c>
      <c r="B14" s="10" t="s">
        <v>260</v>
      </c>
      <c r="C14" s="16" t="s">
        <v>5</v>
      </c>
      <c r="D14" s="16" t="s">
        <v>18</v>
      </c>
      <c r="E14" s="16">
        <v>2</v>
      </c>
      <c r="G14" s="16" t="s">
        <v>39</v>
      </c>
      <c r="I14" s="10" t="s">
        <v>300</v>
      </c>
      <c r="J14" s="52">
        <v>46261</v>
      </c>
    </row>
    <row r="15" spans="1:14">
      <c r="A15" s="19" t="s">
        <v>44</v>
      </c>
      <c r="B15" s="10" t="s">
        <v>261</v>
      </c>
      <c r="C15" s="16" t="s">
        <v>5</v>
      </c>
      <c r="D15" s="16" t="s">
        <v>18</v>
      </c>
      <c r="E15" s="16">
        <v>2</v>
      </c>
      <c r="G15" s="16" t="s">
        <v>39</v>
      </c>
    </row>
    <row r="16" spans="1:14">
      <c r="A16" s="19" t="s">
        <v>44</v>
      </c>
      <c r="B16" s="10" t="s">
        <v>258</v>
      </c>
      <c r="C16" s="16" t="s">
        <v>14</v>
      </c>
      <c r="D16" s="16" t="s">
        <v>18</v>
      </c>
      <c r="G16" s="16" t="s">
        <v>39</v>
      </c>
    </row>
    <row r="17" spans="1:7">
      <c r="A17" s="19" t="s">
        <v>44</v>
      </c>
      <c r="B17" s="10" t="s">
        <v>262</v>
      </c>
      <c r="C17" s="16" t="s">
        <v>5</v>
      </c>
      <c r="D17" s="16" t="s">
        <v>18</v>
      </c>
      <c r="E17" s="16">
        <v>8</v>
      </c>
      <c r="G17" s="16" t="s">
        <v>39</v>
      </c>
    </row>
    <row r="18" spans="1:7">
      <c r="A18" s="20" t="s">
        <v>46</v>
      </c>
      <c r="B18" s="10" t="s">
        <v>263</v>
      </c>
      <c r="C18" s="16" t="s">
        <v>5</v>
      </c>
      <c r="D18" s="16" t="s">
        <v>18</v>
      </c>
      <c r="E18" s="16">
        <v>3</v>
      </c>
      <c r="G18" s="16" t="s">
        <v>39</v>
      </c>
    </row>
    <row r="19" spans="1:7">
      <c r="A19" s="20" t="s">
        <v>46</v>
      </c>
      <c r="B19" s="10" t="s">
        <v>264</v>
      </c>
      <c r="C19" s="16" t="s">
        <v>259</v>
      </c>
      <c r="D19" s="16" t="s">
        <v>18</v>
      </c>
      <c r="E19" s="16">
        <v>5</v>
      </c>
      <c r="G19" s="16" t="s">
        <v>39</v>
      </c>
    </row>
    <row r="20" spans="1:7">
      <c r="A20" s="20" t="s">
        <v>46</v>
      </c>
      <c r="B20" s="10" t="s">
        <v>276</v>
      </c>
      <c r="C20" s="16" t="s">
        <v>259</v>
      </c>
      <c r="D20" s="16" t="s">
        <v>18</v>
      </c>
      <c r="E20" s="16">
        <v>6</v>
      </c>
      <c r="G20" s="16" t="s">
        <v>39</v>
      </c>
    </row>
    <row r="21" spans="1:7">
      <c r="A21" s="20" t="s">
        <v>46</v>
      </c>
      <c r="B21" s="10" t="s">
        <v>277</v>
      </c>
      <c r="C21" s="16" t="s">
        <v>5</v>
      </c>
      <c r="D21" s="16" t="s">
        <v>18</v>
      </c>
      <c r="E21" s="16">
        <v>4</v>
      </c>
      <c r="G21" s="16" t="s">
        <v>39</v>
      </c>
    </row>
    <row r="22" spans="1:7">
      <c r="A22" s="20" t="s">
        <v>46</v>
      </c>
      <c r="B22" s="10" t="s">
        <v>265</v>
      </c>
      <c r="C22" s="16" t="s">
        <v>259</v>
      </c>
      <c r="D22" s="16" t="s">
        <v>18</v>
      </c>
      <c r="E22" s="16">
        <v>8</v>
      </c>
      <c r="G22" s="16" t="s">
        <v>39</v>
      </c>
    </row>
    <row r="23" spans="1:7">
      <c r="A23" s="50" t="s">
        <v>266</v>
      </c>
      <c r="B23" s="10" t="s">
        <v>267</v>
      </c>
      <c r="C23" s="16" t="s">
        <v>5</v>
      </c>
      <c r="D23" s="16" t="s">
        <v>18</v>
      </c>
      <c r="E23" s="16">
        <v>3</v>
      </c>
      <c r="F23" s="16">
        <v>1</v>
      </c>
      <c r="G23" s="16" t="s">
        <v>57</v>
      </c>
    </row>
    <row r="24" spans="1:7">
      <c r="A24" s="50" t="s">
        <v>266</v>
      </c>
      <c r="B24" s="10" t="s">
        <v>268</v>
      </c>
      <c r="C24" s="16" t="s">
        <v>5</v>
      </c>
      <c r="D24" s="16" t="s">
        <v>18</v>
      </c>
      <c r="E24" s="16">
        <v>2</v>
      </c>
      <c r="G24" s="16" t="s">
        <v>39</v>
      </c>
    </row>
    <row r="25" spans="1:7">
      <c r="A25" s="50" t="s">
        <v>266</v>
      </c>
      <c r="B25" s="10" t="s">
        <v>269</v>
      </c>
      <c r="C25" s="16" t="s">
        <v>5</v>
      </c>
      <c r="D25" s="16" t="s">
        <v>18</v>
      </c>
      <c r="E25" s="16">
        <v>1</v>
      </c>
      <c r="G25" s="16" t="s">
        <v>39</v>
      </c>
    </row>
    <row r="26" spans="1:7">
      <c r="A26" s="50" t="s">
        <v>266</v>
      </c>
      <c r="B26" s="10" t="s">
        <v>270</v>
      </c>
      <c r="C26" s="16" t="s">
        <v>5</v>
      </c>
      <c r="D26" s="16" t="s">
        <v>18</v>
      </c>
      <c r="E26" s="16">
        <v>2</v>
      </c>
      <c r="G26" s="16" t="s">
        <v>39</v>
      </c>
    </row>
    <row r="27" spans="1:7">
      <c r="A27" s="50" t="s">
        <v>266</v>
      </c>
      <c r="B27" s="10" t="s">
        <v>271</v>
      </c>
      <c r="C27" s="16" t="s">
        <v>5</v>
      </c>
      <c r="D27" s="16" t="s">
        <v>18</v>
      </c>
      <c r="E27" s="16">
        <v>2</v>
      </c>
      <c r="G27" s="16" t="s">
        <v>39</v>
      </c>
    </row>
    <row r="28" spans="1:7">
      <c r="A28" s="21" t="s">
        <v>40</v>
      </c>
      <c r="B28" s="10" t="s">
        <v>272</v>
      </c>
      <c r="C28" s="16" t="s">
        <v>5</v>
      </c>
      <c r="D28" s="16" t="s">
        <v>18</v>
      </c>
      <c r="E28" s="16">
        <v>2</v>
      </c>
      <c r="G28" s="16" t="s">
        <v>39</v>
      </c>
    </row>
    <row r="29" spans="1:7">
      <c r="A29" s="21" t="s">
        <v>40</v>
      </c>
      <c r="B29" s="10" t="s">
        <v>273</v>
      </c>
      <c r="C29" s="16" t="s">
        <v>5</v>
      </c>
      <c r="D29" s="16" t="s">
        <v>18</v>
      </c>
      <c r="E29" s="16">
        <v>1</v>
      </c>
      <c r="G29" s="16" t="s">
        <v>39</v>
      </c>
    </row>
    <row r="30" spans="1:7">
      <c r="A30" s="21" t="s">
        <v>40</v>
      </c>
      <c r="B30" s="10" t="s">
        <v>293</v>
      </c>
      <c r="C30" s="16" t="s">
        <v>5</v>
      </c>
      <c r="D30" s="16" t="s">
        <v>18</v>
      </c>
      <c r="E30" s="16">
        <v>2</v>
      </c>
      <c r="G30" s="16" t="s">
        <v>39</v>
      </c>
    </row>
    <row r="31" spans="1:7">
      <c r="A31" s="21" t="s">
        <v>40</v>
      </c>
      <c r="B31" s="10" t="s">
        <v>274</v>
      </c>
      <c r="C31" s="16" t="s">
        <v>5</v>
      </c>
      <c r="D31" s="16" t="s">
        <v>18</v>
      </c>
      <c r="E31" s="16">
        <v>3</v>
      </c>
      <c r="G31" s="16" t="s">
        <v>39</v>
      </c>
    </row>
    <row r="32" spans="1:7">
      <c r="A32" s="21" t="s">
        <v>40</v>
      </c>
      <c r="B32" s="10" t="s">
        <v>275</v>
      </c>
      <c r="C32" s="16" t="s">
        <v>5</v>
      </c>
      <c r="D32" s="16" t="s">
        <v>18</v>
      </c>
      <c r="E32" s="16">
        <v>6</v>
      </c>
      <c r="G32" s="16" t="s">
        <v>39</v>
      </c>
    </row>
    <row r="33" spans="1:7">
      <c r="A33" s="22" t="s">
        <v>41</v>
      </c>
      <c r="B33" s="10" t="s">
        <v>278</v>
      </c>
      <c r="C33" s="16" t="s">
        <v>5</v>
      </c>
      <c r="D33" s="16" t="s">
        <v>18</v>
      </c>
      <c r="E33" s="16">
        <v>3</v>
      </c>
      <c r="G33" s="16" t="s">
        <v>39</v>
      </c>
    </row>
    <row r="34" spans="1:7">
      <c r="A34" s="22" t="s">
        <v>41</v>
      </c>
      <c r="B34" s="10" t="s">
        <v>75</v>
      </c>
      <c r="C34" s="16" t="s">
        <v>5</v>
      </c>
      <c r="D34" s="16" t="s">
        <v>18</v>
      </c>
      <c r="E34" s="16">
        <v>0</v>
      </c>
      <c r="G34" s="16" t="s">
        <v>57</v>
      </c>
    </row>
    <row r="35" spans="1:7">
      <c r="A35" s="23" t="s">
        <v>42</v>
      </c>
      <c r="B35" s="10" t="s">
        <v>280</v>
      </c>
      <c r="D35" s="16" t="s">
        <v>295</v>
      </c>
      <c r="E35" s="16">
        <v>2</v>
      </c>
      <c r="G35" s="16" t="s">
        <v>39</v>
      </c>
    </row>
    <row r="36" spans="1:7">
      <c r="A36" s="23" t="s">
        <v>42</v>
      </c>
      <c r="B36" s="10" t="s">
        <v>281</v>
      </c>
      <c r="C36" s="16" t="s">
        <v>5</v>
      </c>
      <c r="D36" s="16" t="s">
        <v>295</v>
      </c>
      <c r="E36" s="16">
        <v>1</v>
      </c>
      <c r="G36" s="16" t="s">
        <v>39</v>
      </c>
    </row>
    <row r="37" spans="1:7">
      <c r="A37" s="23" t="s">
        <v>42</v>
      </c>
      <c r="B37" s="10" t="s">
        <v>282</v>
      </c>
      <c r="D37" s="16" t="s">
        <v>295</v>
      </c>
      <c r="E37" s="16">
        <v>1</v>
      </c>
      <c r="G37" s="16" t="s">
        <v>39</v>
      </c>
    </row>
    <row r="38" spans="1:7">
      <c r="A38" s="10" t="s">
        <v>279</v>
      </c>
      <c r="B38" s="10" t="s">
        <v>283</v>
      </c>
      <c r="D38" s="16" t="s">
        <v>10</v>
      </c>
      <c r="E38" s="16">
        <v>6</v>
      </c>
      <c r="G38" s="16" t="s">
        <v>39</v>
      </c>
    </row>
    <row r="39" spans="1:7">
      <c r="A39" s="10" t="s">
        <v>279</v>
      </c>
      <c r="B39" s="10" t="s">
        <v>284</v>
      </c>
      <c r="D39" s="16" t="s">
        <v>10</v>
      </c>
      <c r="E39" s="16">
        <v>6</v>
      </c>
      <c r="G39" s="16" t="s">
        <v>39</v>
      </c>
    </row>
    <row r="40" spans="1:7">
      <c r="A40" s="10" t="s">
        <v>279</v>
      </c>
      <c r="B40" s="10" t="s">
        <v>285</v>
      </c>
      <c r="D40" s="16" t="s">
        <v>18</v>
      </c>
      <c r="E40" s="16">
        <v>0</v>
      </c>
      <c r="G40" s="16" t="s">
        <v>39</v>
      </c>
    </row>
    <row r="41" spans="1:7">
      <c r="A41" s="13" t="s">
        <v>38</v>
      </c>
      <c r="B41" s="10" t="s">
        <v>286</v>
      </c>
      <c r="C41" s="16" t="s">
        <v>259</v>
      </c>
      <c r="D41" s="16" t="s">
        <v>10</v>
      </c>
      <c r="E41" s="16">
        <v>1</v>
      </c>
      <c r="G41" s="16" t="s">
        <v>39</v>
      </c>
    </row>
    <row r="42" spans="1:7">
      <c r="A42" s="13" t="s">
        <v>38</v>
      </c>
      <c r="B42" s="10" t="s">
        <v>287</v>
      </c>
      <c r="C42" s="16" t="s">
        <v>5</v>
      </c>
      <c r="D42" s="16" t="s">
        <v>10</v>
      </c>
      <c r="E42" s="16">
        <v>8</v>
      </c>
      <c r="G42" s="16" t="s">
        <v>39</v>
      </c>
    </row>
    <row r="43" spans="1:7">
      <c r="A43" s="13" t="s">
        <v>38</v>
      </c>
      <c r="B43" s="10" t="s">
        <v>288</v>
      </c>
      <c r="C43" s="16" t="s">
        <v>5</v>
      </c>
      <c r="D43" s="16" t="s">
        <v>10</v>
      </c>
      <c r="E43" s="16">
        <v>6</v>
      </c>
      <c r="G43" s="16" t="s">
        <v>39</v>
      </c>
    </row>
    <row r="44" spans="1:7">
      <c r="A44" s="13" t="s">
        <v>38</v>
      </c>
      <c r="B44" s="10" t="s">
        <v>289</v>
      </c>
      <c r="C44" s="16" t="s">
        <v>5</v>
      </c>
      <c r="D44" s="16" t="s">
        <v>10</v>
      </c>
      <c r="E44" s="16">
        <v>8</v>
      </c>
      <c r="G44" s="16" t="s">
        <v>39</v>
      </c>
    </row>
    <row r="45" spans="1:7">
      <c r="A45" s="13" t="s">
        <v>38</v>
      </c>
      <c r="B45" s="10" t="s">
        <v>290</v>
      </c>
      <c r="C45" s="16" t="s">
        <v>5</v>
      </c>
      <c r="D45" s="16" t="s">
        <v>10</v>
      </c>
      <c r="E45" s="16">
        <v>8</v>
      </c>
      <c r="G45" s="16" t="s">
        <v>39</v>
      </c>
    </row>
    <row r="46" spans="1:7">
      <c r="A46" s="13" t="s">
        <v>38</v>
      </c>
      <c r="B46" s="10" t="s">
        <v>291</v>
      </c>
      <c r="C46" s="16" t="s">
        <v>5</v>
      </c>
      <c r="D46" s="16" t="s">
        <v>10</v>
      </c>
      <c r="E46" s="16">
        <v>4</v>
      </c>
      <c r="G46" s="16" t="s">
        <v>39</v>
      </c>
    </row>
    <row r="47" spans="1:7">
      <c r="A47" s="13" t="s">
        <v>38</v>
      </c>
      <c r="B47" s="10" t="s">
        <v>292</v>
      </c>
      <c r="C47" s="16" t="s">
        <v>5</v>
      </c>
      <c r="D47" s="16" t="s">
        <v>10</v>
      </c>
      <c r="E47" s="16">
        <v>12</v>
      </c>
      <c r="G47" s="16" t="s">
        <v>39</v>
      </c>
    </row>
    <row r="48" spans="1:7">
      <c r="A48" s="13" t="s">
        <v>38</v>
      </c>
      <c r="B48" s="10" t="s">
        <v>294</v>
      </c>
      <c r="C48" s="16" t="s">
        <v>5</v>
      </c>
      <c r="D48" s="16" t="s">
        <v>295</v>
      </c>
      <c r="E48" s="16">
        <v>12</v>
      </c>
      <c r="F48" s="10"/>
      <c r="G48" s="16" t="s">
        <v>39</v>
      </c>
    </row>
  </sheetData>
  <autoFilter ref="B2:G40" xr:uid="{00000000-0001-0000-0000-000000000000}">
    <sortState xmlns:xlrd2="http://schemas.microsoft.com/office/spreadsheetml/2017/richdata2" ref="B3:G32">
      <sortCondition ref="B2:B32"/>
    </sortState>
  </autoFilter>
  <phoneticPr fontId="1"/>
  <dataValidations count="3">
    <dataValidation type="list" allowBlank="1" showInputMessage="1" showErrorMessage="1" sqref="D3:D48" xr:uid="{8982FD40-CA4D-4B92-93FE-B37B6B67ACD6}">
      <formula1>"プロト,アルファ,ベータ,マスタ"</formula1>
    </dataValidation>
    <dataValidation type="list" allowBlank="1" showInputMessage="1" showErrorMessage="1" sqref="G3:G48" xr:uid="{E1CFE88F-4F87-4696-BE21-1133C2AEB8C1}">
      <formula1>"未着手,作業中,完了"</formula1>
    </dataValidation>
    <dataValidation type="list" allowBlank="1" showInputMessage="1" showErrorMessage="1" sqref="C3:C48"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4" zoomScale="115" zoomScaleNormal="115" workbookViewId="0">
      <selection activeCell="C26" sqref="C26:I26"/>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abSelected="1"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221</v>
      </c>
    </row>
    <row r="8" spans="1:3">
      <c r="A8" s="1">
        <v>46191</v>
      </c>
      <c r="C8" t="s">
        <v>222</v>
      </c>
    </row>
    <row r="9" spans="1:3">
      <c r="A9" s="1">
        <v>46192</v>
      </c>
      <c r="C9" t="s">
        <v>223</v>
      </c>
    </row>
    <row r="10" spans="1:3">
      <c r="C10" t="s">
        <v>224</v>
      </c>
    </row>
    <row r="11" spans="1:3">
      <c r="C11" t="s">
        <v>225</v>
      </c>
    </row>
    <row r="12" spans="1:3">
      <c r="A12" s="1">
        <v>46193</v>
      </c>
      <c r="C12" t="s">
        <v>226</v>
      </c>
    </row>
    <row r="13" spans="1:3">
      <c r="C13" t="s">
        <v>227</v>
      </c>
    </row>
    <row r="14" spans="1:3">
      <c r="A14" s="1">
        <v>46194</v>
      </c>
      <c r="C14" t="s">
        <v>228</v>
      </c>
    </row>
    <row r="15" spans="1:3">
      <c r="C15" t="s">
        <v>229</v>
      </c>
    </row>
    <row r="16" spans="1:3">
      <c r="C16" t="s">
        <v>230</v>
      </c>
    </row>
    <row r="17" spans="1:3">
      <c r="A17" s="1">
        <v>46195</v>
      </c>
      <c r="C17" t="s">
        <v>231</v>
      </c>
    </row>
    <row r="18" spans="1:3">
      <c r="C18" t="s">
        <v>232</v>
      </c>
    </row>
    <row r="19" spans="1:3">
      <c r="C19" t="s">
        <v>233</v>
      </c>
    </row>
    <row r="20" spans="1:3">
      <c r="C20" t="s">
        <v>234</v>
      </c>
    </row>
    <row r="21" spans="1:3">
      <c r="C21" t="s">
        <v>235</v>
      </c>
    </row>
    <row r="22" spans="1:3">
      <c r="C22" t="s">
        <v>237</v>
      </c>
    </row>
    <row r="23" spans="1:3">
      <c r="C23" t="s">
        <v>236</v>
      </c>
    </row>
    <row r="24" spans="1:3">
      <c r="A24" s="1">
        <v>46196</v>
      </c>
      <c r="C24" t="s">
        <v>238</v>
      </c>
    </row>
    <row r="25" spans="1:3">
      <c r="C25" t="s">
        <v>239</v>
      </c>
    </row>
    <row r="26" spans="1:3">
      <c r="C26" t="s">
        <v>240</v>
      </c>
    </row>
    <row r="27" spans="1:3">
      <c r="A27" s="1">
        <v>46197</v>
      </c>
      <c r="C27" t="s">
        <v>241</v>
      </c>
    </row>
    <row r="28" spans="1:3">
      <c r="C28" t="s">
        <v>242</v>
      </c>
    </row>
    <row r="29" spans="1:3">
      <c r="A29" s="1">
        <v>46198</v>
      </c>
      <c r="C29" t="s">
        <v>243</v>
      </c>
    </row>
    <row r="30" spans="1:3">
      <c r="C30" t="s">
        <v>244</v>
      </c>
    </row>
    <row r="31" spans="1:3">
      <c r="C31" t="s">
        <v>245</v>
      </c>
    </row>
    <row r="32" spans="1:3">
      <c r="C32" t="s">
        <v>246</v>
      </c>
    </row>
    <row r="33" spans="1:3">
      <c r="C33" t="s">
        <v>247</v>
      </c>
    </row>
    <row r="34" spans="1:3">
      <c r="C34" t="s">
        <v>248</v>
      </c>
    </row>
    <row r="35" spans="1:3">
      <c r="C35" t="s">
        <v>250</v>
      </c>
    </row>
    <row r="36" spans="1:3">
      <c r="C36" t="s">
        <v>249</v>
      </c>
    </row>
    <row r="37" spans="1:3">
      <c r="A37" s="1">
        <v>46200</v>
      </c>
      <c r="C37" t="s">
        <v>251</v>
      </c>
    </row>
    <row r="38" spans="1:3">
      <c r="A38" s="1">
        <v>46201</v>
      </c>
      <c r="C38" t="s">
        <v>302</v>
      </c>
    </row>
    <row r="39" spans="1:3">
      <c r="C39" t="s">
        <v>305</v>
      </c>
    </row>
    <row r="40" spans="1:3">
      <c r="C40" t="s">
        <v>306</v>
      </c>
    </row>
    <row r="41" spans="1:3">
      <c r="C41" t="s">
        <v>307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I11" sqref="I11"/>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303</v>
      </c>
    </row>
    <row r="13" spans="2:4">
      <c r="B13" t="s">
        <v>93</v>
      </c>
      <c r="D13" t="s">
        <v>304</v>
      </c>
    </row>
    <row r="14" spans="2:4">
      <c r="B14" t="s">
        <v>94</v>
      </c>
      <c r="D14" t="s">
        <v>134</v>
      </c>
    </row>
    <row r="15" spans="2:4">
      <c r="D15" t="s">
        <v>135</v>
      </c>
    </row>
    <row r="16" spans="2:4">
      <c r="D16" t="s">
        <v>136</v>
      </c>
    </row>
    <row r="17" spans="2:4">
      <c r="B17" t="s">
        <v>131</v>
      </c>
      <c r="D17" t="s">
        <v>146</v>
      </c>
    </row>
    <row r="18" spans="2:4">
      <c r="B18" t="s">
        <v>208</v>
      </c>
    </row>
    <row r="19" spans="2:4">
      <c r="B19" t="s">
        <v>209</v>
      </c>
    </row>
    <row r="20" spans="2:4">
      <c r="B20" t="s">
        <v>137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186</v>
      </c>
      <c r="G3" s="45"/>
    </row>
    <row r="4" spans="1:7">
      <c r="A4" s="44"/>
      <c r="C4" t="s">
        <v>71</v>
      </c>
      <c r="G4" s="45"/>
    </row>
    <row r="5" spans="1:7">
      <c r="A5" s="44"/>
      <c r="C5" t="s">
        <v>187</v>
      </c>
      <c r="G5" s="45"/>
    </row>
    <row r="6" spans="1:7">
      <c r="A6" s="44"/>
      <c r="C6" t="s">
        <v>189</v>
      </c>
      <c r="G6" s="45"/>
    </row>
    <row r="7" spans="1:7">
      <c r="A7" s="44"/>
      <c r="C7" t="s">
        <v>195</v>
      </c>
      <c r="G7" s="45"/>
    </row>
    <row r="8" spans="1:7">
      <c r="A8" s="44"/>
      <c r="G8" s="45"/>
    </row>
    <row r="9" spans="1:7">
      <c r="A9" s="44"/>
      <c r="B9" t="s">
        <v>188</v>
      </c>
      <c r="D9" t="s">
        <v>190</v>
      </c>
      <c r="F9" t="s">
        <v>193</v>
      </c>
      <c r="G9" s="45"/>
    </row>
    <row r="10" spans="1:7">
      <c r="A10" s="44"/>
      <c r="B10" t="s">
        <v>71</v>
      </c>
      <c r="D10" t="s">
        <v>191</v>
      </c>
      <c r="F10" t="s">
        <v>194</v>
      </c>
      <c r="G10" s="45"/>
    </row>
    <row r="11" spans="1:7">
      <c r="A11" s="44"/>
      <c r="B11" t="s">
        <v>187</v>
      </c>
      <c r="D11" t="s">
        <v>192</v>
      </c>
      <c r="F11" t="s">
        <v>69</v>
      </c>
      <c r="G11" s="45"/>
    </row>
    <row r="12" spans="1:7">
      <c r="A12" s="44"/>
      <c r="B12" t="s">
        <v>189</v>
      </c>
      <c r="D12" t="s">
        <v>189</v>
      </c>
      <c r="F12" t="s">
        <v>189</v>
      </c>
      <c r="G12" s="45"/>
    </row>
    <row r="13" spans="1:7">
      <c r="A13" s="44"/>
      <c r="B13" t="s">
        <v>195</v>
      </c>
      <c r="D13" t="s">
        <v>187</v>
      </c>
      <c r="F13" t="s">
        <v>187</v>
      </c>
      <c r="G13" s="45"/>
    </row>
    <row r="14" spans="1:7" ht="19.5" thickBot="1">
      <c r="A14" s="46"/>
      <c r="B14" s="47"/>
      <c r="C14" s="47"/>
      <c r="D14" s="47" t="s">
        <v>195</v>
      </c>
      <c r="E14" s="47"/>
      <c r="F14" s="47" t="s">
        <v>195</v>
      </c>
      <c r="G14" s="48"/>
    </row>
    <row r="17" spans="2:6">
      <c r="B17" t="s">
        <v>196</v>
      </c>
      <c r="D17" t="s">
        <v>199</v>
      </c>
    </row>
    <row r="18" spans="2:6">
      <c r="B18" t="s">
        <v>74</v>
      </c>
      <c r="D18" t="s">
        <v>198</v>
      </c>
    </row>
    <row r="19" spans="2:6">
      <c r="B19" t="s">
        <v>71</v>
      </c>
      <c r="D19" t="s">
        <v>200</v>
      </c>
    </row>
    <row r="20" spans="2:6">
      <c r="B20" t="s">
        <v>197</v>
      </c>
      <c r="D20" t="s">
        <v>201</v>
      </c>
    </row>
    <row r="21" spans="2:6">
      <c r="B21" t="s">
        <v>97</v>
      </c>
    </row>
    <row r="22" spans="2:6">
      <c r="D22" t="s">
        <v>202</v>
      </c>
      <c r="F22" t="s">
        <v>203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153</v>
      </c>
      <c r="C2" s="40"/>
      <c r="D2" s="40"/>
      <c r="E2" s="40"/>
      <c r="M2" t="s">
        <v>102</v>
      </c>
      <c r="AE2" t="s">
        <v>139</v>
      </c>
    </row>
    <row r="3" spans="1:33">
      <c r="B3" t="s">
        <v>97</v>
      </c>
      <c r="M3" t="s">
        <v>103</v>
      </c>
      <c r="R3" t="s">
        <v>145</v>
      </c>
      <c r="AE3" t="s">
        <v>126</v>
      </c>
      <c r="AG3" t="s">
        <v>140</v>
      </c>
    </row>
    <row r="4" spans="1:33">
      <c r="B4" t="s">
        <v>98</v>
      </c>
      <c r="M4" t="s">
        <v>138</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143</v>
      </c>
    </row>
    <row r="11" spans="1:33">
      <c r="M11" t="s">
        <v>117</v>
      </c>
    </row>
    <row r="12" spans="1:33">
      <c r="M12" t="s">
        <v>118</v>
      </c>
      <c r="AE12" t="s">
        <v>142</v>
      </c>
    </row>
    <row r="13" spans="1:33">
      <c r="B13" t="s">
        <v>46</v>
      </c>
      <c r="M13" t="s">
        <v>123</v>
      </c>
    </row>
    <row r="14" spans="1:33">
      <c r="A14" t="s">
        <v>108</v>
      </c>
      <c r="B14" t="s">
        <v>107</v>
      </c>
      <c r="D14" t="s">
        <v>109</v>
      </c>
    </row>
    <row r="15" spans="1:33">
      <c r="D15" t="s">
        <v>141</v>
      </c>
      <c r="M15" t="s">
        <v>119</v>
      </c>
    </row>
    <row r="16" spans="1:33">
      <c r="M16" t="s">
        <v>120</v>
      </c>
      <c r="AF16" s="39" t="s">
        <v>147</v>
      </c>
      <c r="AG16" s="39"/>
    </row>
    <row r="17" spans="1:37">
      <c r="B17" t="s">
        <v>110</v>
      </c>
      <c r="F17" t="s">
        <v>111</v>
      </c>
      <c r="M17" t="s">
        <v>124</v>
      </c>
      <c r="AF17" t="s">
        <v>148</v>
      </c>
      <c r="AK17" t="s">
        <v>150</v>
      </c>
    </row>
    <row r="18" spans="1:37">
      <c r="M18" t="s">
        <v>121</v>
      </c>
      <c r="AF18" t="s">
        <v>149</v>
      </c>
    </row>
    <row r="19" spans="1:37">
      <c r="B19" t="s">
        <v>113</v>
      </c>
      <c r="D19" t="s">
        <v>111</v>
      </c>
      <c r="M19" t="s">
        <v>122</v>
      </c>
      <c r="AF19" t="s">
        <v>151</v>
      </c>
    </row>
    <row r="20" spans="1:37">
      <c r="AF20" t="s">
        <v>140</v>
      </c>
    </row>
    <row r="21" spans="1:37">
      <c r="B21" t="s">
        <v>112</v>
      </c>
      <c r="D21" t="s">
        <v>111</v>
      </c>
    </row>
    <row r="22" spans="1:37">
      <c r="M22" t="s">
        <v>144</v>
      </c>
    </row>
    <row r="24" spans="1:37">
      <c r="D24" t="s">
        <v>216</v>
      </c>
    </row>
    <row r="28" spans="1:37">
      <c r="A28" t="s">
        <v>217</v>
      </c>
    </row>
    <row r="38" spans="1:15">
      <c r="A38" t="s">
        <v>125</v>
      </c>
    </row>
    <row r="41" spans="1:15">
      <c r="A41" t="s">
        <v>219</v>
      </c>
    </row>
    <row r="42" spans="1:15">
      <c r="A42" t="s">
        <v>220</v>
      </c>
    </row>
    <row r="43" spans="1:15">
      <c r="O43" t="s">
        <v>218</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152</v>
      </c>
      <c r="D2" s="40"/>
      <c r="E2" s="40"/>
      <c r="Q2" t="s">
        <v>154</v>
      </c>
    </row>
    <row r="4" spans="3:24">
      <c r="C4" t="s">
        <v>172</v>
      </c>
      <c r="Q4" t="s">
        <v>170</v>
      </c>
    </row>
    <row r="5" spans="3:24">
      <c r="C5" t="s">
        <v>171</v>
      </c>
      <c r="I5" t="s">
        <v>183</v>
      </c>
      <c r="Q5" t="s">
        <v>181</v>
      </c>
    </row>
    <row r="6" spans="3:24">
      <c r="C6" t="s">
        <v>182</v>
      </c>
      <c r="I6" t="s">
        <v>184</v>
      </c>
      <c r="Q6" t="s">
        <v>155</v>
      </c>
      <c r="S6" t="s">
        <v>156</v>
      </c>
    </row>
    <row r="7" spans="3:24">
      <c r="Q7" t="s">
        <v>157</v>
      </c>
    </row>
    <row r="8" spans="3:24">
      <c r="C8" t="s">
        <v>174</v>
      </c>
      <c r="Q8" t="s">
        <v>158</v>
      </c>
    </row>
    <row r="9" spans="3:24">
      <c r="C9" t="s">
        <v>178</v>
      </c>
      <c r="I9" t="s">
        <v>184</v>
      </c>
      <c r="Q9" t="s">
        <v>176</v>
      </c>
      <c r="X9" t="s">
        <v>177</v>
      </c>
    </row>
    <row r="10" spans="3:24">
      <c r="C10" t="s">
        <v>173</v>
      </c>
      <c r="Q10" t="s">
        <v>159</v>
      </c>
    </row>
    <row r="11" spans="3:24">
      <c r="C11" t="s">
        <v>175</v>
      </c>
      <c r="I11" t="s">
        <v>183</v>
      </c>
      <c r="Q11" t="s">
        <v>160</v>
      </c>
    </row>
    <row r="12" spans="3:24">
      <c r="Q12" t="s">
        <v>161</v>
      </c>
    </row>
    <row r="13" spans="3:24">
      <c r="C13" t="s">
        <v>179</v>
      </c>
      <c r="Q13" t="s">
        <v>162</v>
      </c>
      <c r="S13" t="s">
        <v>163</v>
      </c>
    </row>
    <row r="14" spans="3:24">
      <c r="C14" t="s">
        <v>180</v>
      </c>
      <c r="I14" t="s">
        <v>185</v>
      </c>
      <c r="Q14" t="s">
        <v>164</v>
      </c>
      <c r="S14" t="s">
        <v>165</v>
      </c>
    </row>
    <row r="15" spans="3:24">
      <c r="Q15" t="s">
        <v>166</v>
      </c>
      <c r="R15" t="s">
        <v>167</v>
      </c>
    </row>
    <row r="16" spans="3:24">
      <c r="Q16" t="s">
        <v>168</v>
      </c>
      <c r="S16" t="s">
        <v>169</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205</v>
      </c>
      <c r="AF2" s="42"/>
      <c r="AG2" s="42"/>
      <c r="AH2" s="42"/>
      <c r="AI2" s="43"/>
    </row>
    <row r="3" spans="3:35">
      <c r="AE3" s="44" t="s">
        <v>206</v>
      </c>
      <c r="AI3" s="45"/>
    </row>
    <row r="4" spans="3:35">
      <c r="AE4" s="44" t="s">
        <v>207</v>
      </c>
      <c r="AI4" s="45"/>
    </row>
    <row r="5" spans="3:35" ht="19.5" thickBot="1">
      <c r="AE5" s="46" t="s">
        <v>212</v>
      </c>
      <c r="AF5" s="47"/>
      <c r="AG5" s="47"/>
      <c r="AH5" s="47"/>
      <c r="AI5" s="48"/>
    </row>
    <row r="9" spans="3:35">
      <c r="AE9" t="s">
        <v>204</v>
      </c>
    </row>
    <row r="31" spans="34:47">
      <c r="AN31" t="s">
        <v>210</v>
      </c>
      <c r="AU31" t="s">
        <v>215</v>
      </c>
    </row>
    <row r="32" spans="34:47">
      <c r="AH32" t="s">
        <v>214</v>
      </c>
      <c r="AN32" t="s">
        <v>211</v>
      </c>
    </row>
    <row r="33" spans="40:40">
      <c r="AN33" t="s">
        <v>213</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2026-06-28T15:15:50Z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