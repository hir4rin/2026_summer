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_hirao\Documents\GitHub\2026_summer\進捗\"/>
    </mc:Choice>
  </mc:AlternateContent>
  <xr:revisionPtr revIDLastSave="0" documentId="13_ncr:1_{E4EC7A12-9621-47B9-804F-D2AA1BABCAAC}" xr6:coauthVersionLast="47" xr6:coauthVersionMax="47" xr10:uidLastSave="{00000000-0000-0000-0000-000000000000}"/>
  <bookViews>
    <workbookView xWindow="2940" yWindow="2670" windowWidth="21600" windowHeight="11295" firstSheet="2" activeTab="6" xr2:uid="{00000000-000D-0000-FFFF-FFFF00000000}"/>
  </bookViews>
  <sheets>
    <sheet name="概要" sheetId="5" r:id="rId1"/>
    <sheet name="作業工数見積もり" sheetId="1" r:id="rId2"/>
    <sheet name="カレンダー" sheetId="6" r:id="rId3"/>
    <sheet name="日記" sheetId="12" r:id="rId4"/>
    <sheet name="必要なUI,Effect" sheetId="20" r:id="rId5"/>
    <sheet name="インターン中気になったこと" sheetId="18" r:id="rId6"/>
    <sheet name="フィードバック" sheetId="19" r:id="rId7"/>
    <sheet name="Sheet1" sheetId="16" r:id="rId8"/>
    <sheet name="メモ" sheetId="9" r:id="rId9"/>
    <sheet name="雑用" sheetId="10" r:id="rId10"/>
    <sheet name="仕様書①" sheetId="13" r:id="rId11"/>
    <sheet name="仕様書②" sheetId="15" r:id="rId12"/>
    <sheet name="クラス設計" sheetId="14" r:id="rId13"/>
    <sheet name="Sheet2" sheetId="17" r:id="rId14"/>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<sst xmlns="http://schemas.openxmlformats.org/spreadsheetml/2006/main" count="993" uniqueCount="724">
  <si>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</si>
  <si>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</si>
  <si>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</si>
  <si>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</si>
  <si>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</si>
  <si>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</si>
  <si>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</si>
  <si>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</si>
  <si>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</si>
  <si>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</si>
  <si>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</si>
  <si>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</si>
  <si>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</si>
  <si>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</si>
  <si>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</si>
  <si>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</si>
  <si>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</si>
  <si>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</si>
  <si>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</si>
  <si>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</si>
  <si>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</si>
  <si>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</si>
  <si>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</si>
  <si>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</si>
  <si>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</si>
  <si>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</si>
  <si>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</si>
  <si>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</si>
  <si>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</si>
  <si>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</si>
  <si>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</si>
  <si>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</si>
  <si>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</si>
  <si>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</si>
  <si>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</si>
  <si>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</si>
  <si>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</si>
  <si>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</si>
  <si>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</si>
  <si>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</si>
  <si>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</si>
  <si>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</si>
  <si>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</si>
  <si>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</si>
  <si>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</si>
  <si>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</si>
  <si>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</si>
  <si>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</si>
  <si>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</si>
  <si>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</si>
  <si>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</si>
  <si>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</si>
  <si>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</si>
  <si>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</si>
  <si>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</si>
  <si>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</si>
  <si>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</si>
  <si>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</si>
  <si>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</si>
  <si>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</si>
  <si>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</si>
  <si>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</si>
  <si>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</si>
  <si>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</si>
  <si>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</si>
  <si>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</si>
  <si>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</si>
  <si>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</si>
  <si>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</si>
  <si>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</si>
  <si>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</si>
  <si>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</si>
  <si>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</si>
  <si>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</si>
  <si>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</si>
  <si>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</si>
  <si>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</si>
  <si>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</si>
  <si>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</si>
  <si>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</si>
  <si>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</si>
  <si>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</si>
  <si>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</si>
  <si>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</si>
  <si>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</si>
  <si>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</si>
  <si>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</si>
  <si>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</si>
  <si>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</si>
  <si>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</si>
  <si>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</si>
  <si>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</si>
  <si>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</si>
  <si>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</si>
  <si>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</si>
  <si>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</si>
  <si>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</si>
  <si>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</si>
  <si>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</si>
  <si>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</si>
  <si>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</si>
  <si>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</si>
  <si>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</si>
  <si>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</si>
  <si>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</si>
  <si>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</si>
  <si>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</si>
  <si>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</si>
  <si>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</si>
  <si>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</si>
  <si>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</si>
  <si>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</si>
  <si>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</si>
  <si>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</si>
  <si>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</si>
  <si>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</si>
  <si>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</si>
  <si>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</si>
  <si>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</si>
  <si>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</si>
  <si>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</si>
  <si>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</si>
  <si>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</si>
  <si>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</si>
  <si>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</si>
  <si>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</si>
  <si>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</si>
  <si>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</si>
  <si>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</si>
  <si>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</si>
  <si>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</si>
  <si>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</si>
  <si>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</si>
  <si>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</si>
  <si>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</si>
  <si>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</si>
  <si>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</si>
  <si>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</si>
  <si>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</si>
  <si>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</si>
  <si>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</si>
  <si>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</si>
  <si>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</si>
  <si>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</si>
  <si>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</si>
  <si>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</si>
  <si>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</si>
  <si>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</si>
  <si>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</si>
  <si>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</si>
  <si>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</si>
  <si>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</si>
  <si>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</si>
  <si>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</si>
  <si>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</si>
  <si>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</si>
  <si>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</si>
  <si>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</si>
  <si>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</si>
  <si>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</si>
  <si>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</si>
  <si>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</si>
  <si>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</si>
  <si>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</si>
  <si>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</si>
  <si>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</si>
  <si>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</si>
  <si>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</si>
  <si>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</si>
  <si>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</si>
  <si>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</si>
  <si>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</si>
  <si>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</si>
  <si>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</si>
  <si>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</si>
  <si>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</si>
  <si>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</si>
  <si>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</si>
  <si>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</si>
  <si>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</si>
  <si>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</si>
  <si>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</si>
  <si>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</si>
  <si>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</si>
  <si>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</si>
  <si>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</si>
  <si>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</si>
  <si>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</si>
  <si>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</si>
  <si>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</si>
  <si>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</si>
  <si>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</si>
  <si>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</si>
  <si>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</si>
  <si>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</si>
  <si>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</si>
  <si>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</si>
  <si>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</si>
  <si>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</si>
  <si>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</si>
  <si>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</si>
  <si>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</si>
  <si>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</si>
  <si>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</si>
  <si>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</si>
  <si>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</si>
  <si>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</si>
  <si>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</si>
  <si>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</si>
  <si>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</si>
  <si>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</si>
  <si>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</si>
  <si>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</si>
  <si>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</si>
  <si>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</si>
  <si>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</si>
  <si>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</si>
  <si>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</si>
  <si>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</si>
  <si>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</si>
  <si>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</si>
  <si>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</si>
  <si>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</si>
  <si>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</si>
  <si>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</si>
  <si>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</si>
  <si>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</si>
  <si>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</si>
  <si>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</si>
  <si>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</si>
  <si>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</si>
  <si>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</si>
  <si>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</si>
  <si>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</si>
  <si>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</si>
  <si>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</si>
  <si>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</si>
  <si>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</si>
  <si>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</si>
  <si>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</si>
  <si>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</si>
  <si>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</si>
  <si>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</si>
  <si>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</si>
  <si>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</si>
  <si>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</si>
  <si>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</si>
  <si>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</si>
  <si>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</si>
  <si>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</si>
  <si>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</si>
  <si>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</si>
  <si>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</si>
  <si>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</si>
  <si>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</si>
  <si>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</si>
  <si>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</si>
  <si>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</si>
  <si>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</si>
  <si>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</si>
  <si>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</si>
  <si>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</si>
  <si>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</si>
  <si>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</si>
  <si>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</si>
  <si>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</si>
  <si>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</si>
  <si>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</si>
  <si>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</si>
  <si>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</si>
  <si>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</si>
  <si>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</si>
  <si>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</si>
  <si>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</si>
  <si>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</si>
  <si>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</si>
  <si>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</si>
  <si>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</si>
  <si>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</si>
  <si>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</si>
  <si>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</si>
  <si>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</si>
  <si>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</si>
  <si>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</si>
  <si>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</si>
  <si>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</si>
  <si>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</si>
  <si>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</si>
  <si>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</si>
  <si>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</si>
  <si>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</si>
  <si>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</si>
  <si>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</si>
  <si>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</si>
  <si>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</si>
  <si>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</si>
  <si>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</si>
  <si>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</si>
  <si>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</si>
  <si>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</si>
  <si>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</si>
  <si>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</si>
  <si>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</si>
  <si>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</si>
  <si>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</si>
  <si>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</si>
  <si>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</si>
  <si>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</si>
  <si>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</si>
  <si>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</si>
  <si>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</si>
  <si>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</si>
  <si>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</si>
  <si>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</si>
  <si>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</si>
  <si>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</si>
  <si>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</si>
  <si>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</si>
  <si>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</si>
  <si>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</si>
  <si>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</si>
  <si>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</si>
  <si>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</si>
  <si>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</si>
  <si>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</si>
  <si>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</si>
  <si>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</si>
  <si>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</si>
  <si>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</si>
  <si>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</si>
  <si>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</si>
  <si>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</si>
  <si>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</si>
  <si>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</si>
  <si>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</si>
  <si>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</si>
  <si>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</si>
  <si>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</si>
  <si>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</si>
  <si>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</si>
  <si>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</si>
  <si>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</si>
  <si>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</si>
  <si>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</si>
  <si>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</si>
  <si>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</si>
  <si>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</si>
  <si>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</si>
  <si>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</si>
  <si>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</si>
  <si>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</si>
  <si>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</si>
  <si>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</si>
  <si>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</si>
  <si>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</si>
  <si>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</si>
  <si>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</si>
  <si>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</si>
  <si>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</si>
  <si>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</si>
  <si>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</si>
  <si>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</si>
  <si>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</si>
  <si>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</si>
  <si>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</si>
  <si>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</si>
  <si>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</si>
  <si>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</si>
  <si>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</si>
  <si>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</si>
  <si>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</si>
  <si>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</si>
  <si>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</si>
  <si>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</si>
  <si>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</si>
  <si>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</si>
  <si>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</si>
  <si>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</si>
  <si>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</si>
  <si>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</si>
  <si>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</si>
  <si>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</si>
  <si>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</si>
  <si>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</si>
  <si>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</si>
  <si>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</si>
  <si>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</si>
  <si>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</si>
  <si>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</si>
  <si>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</si>
  <si>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</si>
  <si>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</si>
  <si>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</si>
  <si>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</si>
  <si>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</si>
  <si>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</si>
  <si>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</si>
  <si>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</si>
  <si>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</si>
  <si>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</si>
  <si>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</si>
  <si>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</si>
  <si>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</si>
  <si>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</si>
  <si>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</si>
  <si>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</si>
  <si>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</si>
  <si>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</si>
  <si>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</si>
  <si>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</si>
  <si>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</si>
  <si>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</si>
  <si>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</si>
  <si>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</si>
  <si>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</si>
  <si>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</si>
  <si>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</si>
  <si>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</si>
  <si>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</si>
  <si>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</si>
  <si>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</si>
  <si>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</si>
  <si>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</si>
  <si>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</si>
  <si>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</si>
  <si>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</si>
  <si>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</si>
  <si>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</si>
  <si>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</si>
  <si>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</si>
  <si>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</si>
  <si>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</si>
  <si>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</si>
  <si>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</si>
  <si>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</si>
  <si>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</si>
  <si>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</si>
  <si>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</si>
  <si>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</si>
  <si>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</si>
  <si>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</si>
  <si>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</si>
  <si>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</si>
  <si>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</si>
  <si>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</si>
  <si>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</si>
  <si>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</si>
  <si>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</si>
  <si>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</si>
  <si>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</si>
  <si>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</si>
  <si>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</si>
  <si>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</si>
  <si>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</si>
  <si>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</si>
  <si>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</si>
  <si>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</si>
  <si>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</si>
  <si>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</si>
  <si>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</si>
  <si>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</si>
  <si>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</si>
  <si>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</si>
  <si>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</si>
  <si>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</si>
  <si>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</si>
  <si>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</si>
  <si>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</si>
  <si>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</si>
  <si>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</si>
  <si>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</si>
  <si>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</si>
  <si>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</si>
  <si>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</si>
  <si>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</si>
  <si>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</si>
  <si>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</si>
  <si>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</si>
  <si>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</si>
  <si>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</si>
  <si>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</si>
  <si>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</si>
  <si>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</si>
  <si>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</si>
  <si>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</si>
  <si>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</si>
  <si>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</si>
  <si>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</si>
  <si>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</si>
  <si>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</si>
  <si>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</si>
  <si>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</si>
  <si>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</si>
  <si>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</si>
  <si>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</si>
  <si>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</si>
  <si>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</si>
  <si>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</si>
  <si>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</si>
  <si>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</si>
  <si>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</si>
  <si>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</si>
  <si>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</si>
  <si>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</si>
  <si>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</si>
  <si>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</si>
  <si>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</si>
  <si>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</si>
  <si>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</si>
  <si>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</si>
  <si>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</si>
  <si>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</si>
  <si>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</si>
  <si>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</si>
  <si>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</si>
  <si>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</si>
  <si>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</si>
  <si>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</si>
  <si>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</si>
  <si>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</si>
  <si>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</si>
  <si>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</si>
  <si>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</si>
  <si>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</si>
  <si>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</si>
  <si>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</si>
  <si>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</si>
  <si>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</si>
  <si>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</si>
  <si>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</si>
  <si>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</si>
  <si>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</si>
  <si>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</si>
  <si>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</si>
  <si>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</si>
  <si>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</si>
  <si>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</si>
  <si>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</si>
  <si>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</si>
  <si>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</si>
  <si>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</si>
  <si>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</si>
  <si>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</si>
  <si>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</si>
  <si>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</si>
  <si>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</si>
  <si>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ボス用の血殺を作る(最後の)</t>
    <rPh sb="2" eb="3">
      <t>ヨウ</t>
    </rPh>
    <rPh sb="4" eb="6">
      <t>チサツ</t>
    </rPh>
    <rPh sb="7" eb="8">
      <t>ツク</t>
    </rPh>
    <rPh sb="10" eb="12">
      <t>サイゴ</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</si>
  <si>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</si>
  <si>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</si>
  <si>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</si>
  <si>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</si>
  <si>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</si>
  <si>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</si>
  <si>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</si>
  <si>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</si>
  <si>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</si>
  <si>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</si>
  <si>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</si>
  <si>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</si>
  <si>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</si>
  <si>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</si>
  <si>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</si>
  <si>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</si>
  <si>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</si>
  <si>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</si>
  <si>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</si>
  <si>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</si>
  <si>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</si>
  <si>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</si>
  <si>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</si>
  <si>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</si>
  <si>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</si>
  <si>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</si>
  <si>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</si>
  <si>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</si>
  <si>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</si>
  <si>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</si>
  <si>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</si>
  <si>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</si>
  <si>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</si>
  <si>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</si>
  <si>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</si>
  <si>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</si>
  <si>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</si>
  <si>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</si>
  <si>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</si>
  <si>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</si>
  <si>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</si>
  <si>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</si>
  <si>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</si>
  <si>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</si>
  <si>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</si>
  <si>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</si>
  <si>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</si>
  <si>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</si>
  <si>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</si>
  <si>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</si>
  <si>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</si>
  <si>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</si>
  <si>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</si>
  <si>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</si>
  <si>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</si>
  <si>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</si>
  <si>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</si>
  <si>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</si>
  <si>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</si>
  <si>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</si>
  <si>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</si>
  <si>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</si>
  <si>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</si>
  <si>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</si>
  <si>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</si>
  <si>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</si>
  <si>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</si>
  <si>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</si>
  <si>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</si>
  <si>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</si>
  <si>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</si>
  <si>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</si>
  <si>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</si>
  <si>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</si>
  <si>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</si>
  <si>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</si>
  <si>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</si>
  <si>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</si>
  <si>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</si>
  <si>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</si>
  <si>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</si>
  <si>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</si>
  <si>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</si>
  <si>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</si>
  <si>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</si>
  <si>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</si>
  <si>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</si>
  <si>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</si>
  <si>
    <t>まずは、ゲームシーンでplayerCameraのみで移植をする</t>
    <rPh sb="26" eb="28">
      <t>イショク</t>
    </rPh>
    <phoneticPr fontId="1"/>
  </si>
  <si>
    <t>そのあと、ほかのカメラでの移植も終える、</t>
    <rPh sb="13" eb="15">
      <t>イショク</t>
    </rPh>
    <rPh sb="16" eb="17">
      <t>オ</t>
    </rPh>
    <phoneticPr fontId="1"/>
  </si>
  <si>
    <t>最後にカメラのラープに関する関数を作る</t>
    <rPh sb="0" eb="2">
      <t>サイゴ</t>
    </rPh>
    <rPh sb="11" eb="12">
      <t>カン</t>
    </rPh>
    <rPh sb="14" eb="16">
      <t>カンスウ</t>
    </rPh>
    <rPh sb="17" eb="18">
      <t>ツク</t>
    </rPh>
    <phoneticPr fontId="1"/>
  </si>
  <si>
    <t>スキル攻撃を振ったら血を地面にテクスチャを貼り付けるとかめちゃくちゃいい</t>
    <rPh sb="3" eb="5">
      <t>コウゲキ</t>
    </rPh>
    <rPh sb="6" eb="7">
      <t>フ</t>
    </rPh>
    <rPh sb="10" eb="11">
      <t>チ</t>
    </rPh>
    <rPh sb="12" eb="14">
      <t>ジメン</t>
    </rPh>
    <rPh sb="21" eb="22">
      <t>ハ</t>
    </rPh>
    <rPh sb="23" eb="24">
      <t>ツ</t>
    </rPh>
    <phoneticPr fontId="1"/>
  </si>
  <si>
    <t>草をポリゴンで表示させて、2分割して上部分を揺らすとぽい</t>
    <rPh sb="0" eb="1">
      <t>クサ</t>
    </rPh>
    <rPh sb="7" eb="9">
      <t>ヒョウジ</t>
    </rPh>
    <rPh sb="14" eb="16">
      <t>ブンカツ</t>
    </rPh>
    <rPh sb="18" eb="21">
      <t>ウエブブン</t>
    </rPh>
    <rPh sb="22" eb="23">
      <t>ユ</t>
    </rPh>
    <phoneticPr fontId="1"/>
  </si>
  <si>
    <t>ロックオンカメラの時のプレイヤーの入力方向などを直す</t>
    <rPh sb="9" eb="10">
      <t>トキ</t>
    </rPh>
    <rPh sb="17" eb="21">
      <t>ニュウリョクホウコウ</t>
    </rPh>
    <rPh sb="24" eb="25">
      <t>ナオ</t>
    </rPh>
    <phoneticPr fontId="1"/>
  </si>
  <si>
    <t>直した</t>
    <rPh sb="0" eb="1">
      <t>ナオ</t>
    </rPh>
    <phoneticPr fontId="1"/>
  </si>
  <si>
    <t>PlayerStateRun,Avoidを消した</t>
    <rPh sb="21" eb="22">
      <t>ケ</t>
    </rPh>
    <phoneticPr fontId="1"/>
  </si>
  <si>
    <t>今から、カメラの揺れ機能を追加しながら、UltCamのステートじっそうをする</t>
    <rPh sb="0" eb="1">
      <t>イマ</t>
    </rPh>
    <rPh sb="8" eb="9">
      <t>ユ</t>
    </rPh>
    <rPh sb="10" eb="12">
      <t>キノウ</t>
    </rPh>
    <rPh sb="13" eb="15">
      <t>ツイカ</t>
    </rPh>
    <phoneticPr fontId="1"/>
  </si>
  <si>
    <t>カメラの機能追加終わり、UltCamの実装も終わり、Titlecamの実装も終わり</t>
    <rPh sb="4" eb="6">
      <t>キノウ</t>
    </rPh>
    <rPh sb="6" eb="8">
      <t>ツイカ</t>
    </rPh>
    <rPh sb="8" eb="9">
      <t>オ</t>
    </rPh>
    <rPh sb="19" eb="21">
      <t>ジッソウ</t>
    </rPh>
    <rPh sb="22" eb="23">
      <t>オ</t>
    </rPh>
    <rPh sb="35" eb="37">
      <t>ジッソウ</t>
    </rPh>
    <rPh sb="38" eb="39">
      <t>オ</t>
    </rPh>
    <phoneticPr fontId="1"/>
  </si>
  <si>
    <t>今から、基底クラスのラープ実装、各ステートの初期値などの細かい設定に入る</t>
    <rPh sb="0" eb="1">
      <t>イマ</t>
    </rPh>
    <rPh sb="4" eb="6">
      <t>キテイ</t>
    </rPh>
    <rPh sb="13" eb="15">
      <t>ジッソウ</t>
    </rPh>
    <rPh sb="16" eb="17">
      <t>カク</t>
    </rPh>
    <rPh sb="22" eb="25">
      <t>ショキチ</t>
    </rPh>
    <rPh sb="28" eb="29">
      <t>コマ</t>
    </rPh>
    <rPh sb="31" eb="33">
      <t>セッテイ</t>
    </rPh>
    <rPh sb="34" eb="35">
      <t>ハイ</t>
    </rPh>
    <phoneticPr fontId="1"/>
  </si>
  <si>
    <t>ラープについて</t>
    <phoneticPr fontId="1"/>
  </si>
  <si>
    <t>Slerpするかどうか（その場合の基軸など),lerpするかどうか、どのくらいの割合でするか、強度などの項目をしらべないといけない</t>
    <rPh sb="14" eb="16">
      <t>バアイ</t>
    </rPh>
    <rPh sb="17" eb="19">
      <t>キジク</t>
    </rPh>
    <rPh sb="40" eb="42">
      <t>ワリアイ</t>
    </rPh>
    <rPh sb="47" eb="49">
      <t>キョウド</t>
    </rPh>
    <rPh sb="52" eb="54">
      <t>コウモク</t>
    </rPh>
    <phoneticPr fontId="1"/>
  </si>
  <si>
    <t>Changeの時にだれがどこで設定するのかも決める</t>
    <rPh sb="7" eb="8">
      <t>トキ</t>
    </rPh>
    <rPh sb="15" eb="17">
      <t>セッテイ</t>
    </rPh>
    <rPh sb="22" eb="23">
      <t>キ</t>
    </rPh>
    <phoneticPr fontId="1"/>
  </si>
  <si>
    <t>ネズミけるときすろーにしてもいいかも(TitleScene上で</t>
    <rPh sb="29" eb="30">
      <t>ジョウ</t>
    </rPh>
    <phoneticPr fontId="1"/>
  </si>
  <si>
    <t>IMGUIを導入する</t>
    <rPh sb="6" eb="8">
      <t>ドウニュウ</t>
    </rPh>
    <phoneticPr fontId="1"/>
  </si>
  <si>
    <t>優先度高</t>
    <rPh sb="0" eb="3">
      <t>ユウセンド</t>
    </rPh>
    <rPh sb="3" eb="4">
      <t>タカ</t>
    </rPh>
    <phoneticPr fontId="1"/>
  </si>
  <si>
    <t>終わり</t>
    <rPh sb="0" eb="1">
      <t>オ</t>
    </rPh>
    <phoneticPr fontId="1"/>
  </si>
  <si>
    <t>途中</t>
    <rPh sb="0" eb="2">
      <t>トチュウ</t>
    </rPh>
    <phoneticPr fontId="1"/>
  </si>
  <si>
    <t>必要なエフェクト制作（ステージ終わりのやつとか制限の壁とか</t>
    <rPh sb="0" eb="2">
      <t>ヒツヨウ</t>
    </rPh>
    <rPh sb="8" eb="10">
      <t>セイサク</t>
    </rPh>
    <rPh sb="15" eb="16">
      <t>オ</t>
    </rPh>
    <rPh sb="23" eb="25">
      <t>セイゲン</t>
    </rPh>
    <rPh sb="26" eb="27">
      <t>カベ</t>
    </rPh>
    <phoneticPr fontId="1"/>
  </si>
  <si>
    <t>文字フォント</t>
    <rPh sb="0" eb="2">
      <t>モジ</t>
    </rPh>
    <phoneticPr fontId="1"/>
  </si>
  <si>
    <t>ロックオンカーソル</t>
    <phoneticPr fontId="1"/>
  </si>
  <si>
    <t>Effect</t>
    <phoneticPr fontId="1"/>
  </si>
  <si>
    <t>切り上げ攻撃時の足元から出すエフェクト</t>
    <rPh sb="0" eb="1">
      <t>キ</t>
    </rPh>
    <rPh sb="6" eb="7">
      <t>ジ</t>
    </rPh>
    <rPh sb="8" eb="10">
      <t>アシモト</t>
    </rPh>
    <rPh sb="12" eb="13">
      <t>ダ</t>
    </rPh>
    <phoneticPr fontId="1"/>
  </si>
  <si>
    <t>BGM</t>
    <phoneticPr fontId="1"/>
  </si>
  <si>
    <t>SE</t>
    <phoneticPr fontId="1"/>
  </si>
  <si>
    <t>攻撃のHitEffect（剣と格闘で分ける</t>
    <rPh sb="0" eb="2">
      <t>コウゲキ</t>
    </rPh>
    <rPh sb="13" eb="14">
      <t>ケン</t>
    </rPh>
    <rPh sb="15" eb="17">
      <t>カクトウ</t>
    </rPh>
    <rPh sb="18" eb="19">
      <t>ワ</t>
    </rPh>
    <phoneticPr fontId="1"/>
  </si>
  <si>
    <t>ステージのフェーズ終わり時の解放エフェクト</t>
    <rPh sb="9" eb="10">
      <t>オ</t>
    </rPh>
    <rPh sb="12" eb="13">
      <t>ジ</t>
    </rPh>
    <rPh sb="14" eb="16">
      <t>カイホウ</t>
    </rPh>
    <phoneticPr fontId="1"/>
  </si>
  <si>
    <t>細かい残りタスク</t>
    <rPh sb="0" eb="1">
      <t>コマ</t>
    </rPh>
    <rPh sb="3" eb="4">
      <t>ノコ</t>
    </rPh>
    <phoneticPr fontId="1"/>
  </si>
  <si>
    <t>GameOverの死</t>
    <rPh sb="9" eb="10">
      <t>シ</t>
    </rPh>
    <phoneticPr fontId="1"/>
  </si>
  <si>
    <t>GameOver</t>
    <phoneticPr fontId="1"/>
  </si>
  <si>
    <t>GameClear</t>
    <phoneticPr fontId="1"/>
  </si>
  <si>
    <t>pauseScene</t>
    <phoneticPr fontId="1"/>
  </si>
  <si>
    <t>剣のヒット音</t>
    <rPh sb="0" eb="1">
      <t>ケン</t>
    </rPh>
    <rPh sb="5" eb="6">
      <t>オン</t>
    </rPh>
    <phoneticPr fontId="1"/>
  </si>
  <si>
    <t>打撃のヒット音</t>
    <rPh sb="0" eb="2">
      <t>ダゲキ</t>
    </rPh>
    <rPh sb="6" eb="7">
      <t>オン</t>
    </rPh>
    <phoneticPr fontId="1"/>
  </si>
  <si>
    <t>敵のヒット音、攻撃音</t>
    <rPh sb="0" eb="1">
      <t>テキ</t>
    </rPh>
    <rPh sb="5" eb="6">
      <t>オン</t>
    </rPh>
    <rPh sb="7" eb="10">
      <t>コウゲキオン</t>
    </rPh>
    <phoneticPr fontId="1"/>
  </si>
  <si>
    <t>ステージ制限の壁</t>
    <phoneticPr fontId="1"/>
  </si>
  <si>
    <t>TitleScene</t>
    <phoneticPr fontId="1"/>
  </si>
  <si>
    <t>GameScene</t>
    <phoneticPr fontId="1"/>
  </si>
  <si>
    <t>PauseScene</t>
    <phoneticPr fontId="1"/>
  </si>
  <si>
    <t>GameClearScene</t>
    <phoneticPr fontId="1"/>
  </si>
  <si>
    <t>GameOverScene</t>
    <phoneticPr fontId="1"/>
  </si>
  <si>
    <t>スキルの時の音</t>
    <rPh sb="4" eb="5">
      <t>トキ</t>
    </rPh>
    <rPh sb="6" eb="7">
      <t>オト</t>
    </rPh>
    <phoneticPr fontId="1"/>
  </si>
  <si>
    <t>血殺の時の音</t>
    <rPh sb="0" eb="2">
      <t>チサツ</t>
    </rPh>
    <rPh sb="3" eb="4">
      <t>トキ</t>
    </rPh>
    <rPh sb="5" eb="6">
      <t>オト</t>
    </rPh>
    <phoneticPr fontId="1"/>
  </si>
  <si>
    <t>カラス状態出現時のエフェクト</t>
    <rPh sb="3" eb="5">
      <t>ジョウタイ</t>
    </rPh>
    <rPh sb="5" eb="8">
      <t>シュツゲンジ</t>
    </rPh>
    <phoneticPr fontId="1"/>
  </si>
  <si>
    <t>最後の演出案</t>
    <rPh sb="0" eb="2">
      <t>サイゴ</t>
    </rPh>
    <rPh sb="3" eb="5">
      <t>エンシュツ</t>
    </rPh>
    <rPh sb="5" eb="6">
      <t>アン</t>
    </rPh>
    <phoneticPr fontId="1"/>
  </si>
  <si>
    <t>倒れたボスに追い打ちで血殺をする</t>
    <rPh sb="0" eb="1">
      <t>タオ</t>
    </rPh>
    <rPh sb="6" eb="7">
      <t>オ</t>
    </rPh>
    <rPh sb="8" eb="9">
      <t>ウ</t>
    </rPh>
    <rPh sb="11" eb="13">
      <t>チサツ</t>
    </rPh>
    <phoneticPr fontId="1"/>
  </si>
  <si>
    <t>ボスの時の敵ロックオンをかえないといけない←完了</t>
    <rPh sb="3" eb="4">
      <t>トキ</t>
    </rPh>
    <rPh sb="5" eb="6">
      <t>テキ</t>
    </rPh>
    <rPh sb="22" eb="24">
      <t>カンリョウ</t>
    </rPh>
    <phoneticPr fontId="1"/>
  </si>
  <si>
    <t>途中</t>
    <rPh sb="0" eb="2">
      <t>トチュウ</t>
    </rPh>
    <phoneticPr fontId="1"/>
  </si>
  <si>
    <t>導入完了</t>
    <rPh sb="0" eb="2">
      <t>ドウニュウ</t>
    </rPh>
    <rPh sb="2" eb="4">
      <t>カンリョウ</t>
    </rPh>
    <phoneticPr fontId="1"/>
  </si>
  <si>
    <t>イベントムービー中はプレイヤーを動かさないようにしないといけない</t>
    <rPh sb="8" eb="9">
      <t>チュウ</t>
    </rPh>
    <rPh sb="16" eb="17">
      <t>ウゴ</t>
    </rPh>
    <phoneticPr fontId="1"/>
  </si>
  <si>
    <t>プレイヤーを動かさないようにする完了</t>
    <rPh sb="6" eb="7">
      <t>ウゴ</t>
    </rPh>
    <rPh sb="16" eb="18">
      <t>カンリョウ</t>
    </rPh>
    <phoneticPr fontId="1"/>
  </si>
  <si>
    <t>次はボスを倒した時のアクションを作る</t>
    <rPh sb="0" eb="1">
      <t>ツギ</t>
    </rPh>
    <rPh sb="5" eb="6">
      <t>タオ</t>
    </rPh>
    <rPh sb="8" eb="9">
      <t>トキ</t>
    </rPh>
    <rPh sb="16" eb="17">
      <t>ツク</t>
    </rPh>
    <phoneticPr fontId="1"/>
  </si>
  <si>
    <t>EventManagerを作って、それが発火したとき</t>
    <rPh sb="13" eb="14">
      <t>ツク</t>
    </rPh>
    <rPh sb="20" eb="22">
      <t>ハッカ</t>
    </rPh>
    <phoneticPr fontId="1"/>
  </si>
  <si>
    <t>プレイヤーとボスの動きをセット</t>
    <rPh sb="9" eb="10">
      <t>ウゴ</t>
    </rPh>
    <phoneticPr fontId="1"/>
  </si>
  <si>
    <t>まず、カメラ関係なくアクションが起こるようにする</t>
    <rPh sb="6" eb="8">
      <t>カンケイ</t>
    </rPh>
    <rPh sb="16" eb="17">
      <t>オ</t>
    </rPh>
    <phoneticPr fontId="1"/>
  </si>
  <si>
    <t>そのあとにカメラをセッティングする</t>
    <phoneticPr fontId="1"/>
  </si>
  <si>
    <t>ラストヒットシーン案</t>
    <rPh sb="9" eb="10">
      <t>アン</t>
    </rPh>
    <phoneticPr fontId="1"/>
  </si>
  <si>
    <t>ボスの背中を見るカメラ</t>
    <rPh sb="3" eb="5">
      <t>セナカ</t>
    </rPh>
    <rPh sb="6" eb="7">
      <t>ミ</t>
    </rPh>
    <phoneticPr fontId="1"/>
  </si>
  <si>
    <t>ボスが倒れる</t>
    <rPh sb="3" eb="4">
      <t>タオ</t>
    </rPh>
    <phoneticPr fontId="1"/>
  </si>
  <si>
    <t>プレイヤーは切りかかる</t>
    <rPh sb="6" eb="7">
      <t>キ</t>
    </rPh>
    <phoneticPr fontId="1"/>
  </si>
  <si>
    <t>そのあと、</t>
    <phoneticPr fontId="1"/>
  </si>
  <si>
    <t>血殺</t>
    <rPh sb="0" eb="2">
      <t>チサツ</t>
    </rPh>
    <phoneticPr fontId="1"/>
  </si>
  <si>
    <t>する</t>
    <phoneticPr fontId="1"/>
  </si>
  <si>
    <t>カメラの動き：</t>
    <rPh sb="4" eb="5">
      <t>ウゴ</t>
    </rPh>
    <phoneticPr fontId="1"/>
  </si>
  <si>
    <t>後ろー＞プレイヤーのほうに回る(手の付近)ー＞敵のほうを見る(playerのうしろ)-&gt;血殺終わり</t>
    <rPh sb="0" eb="1">
      <t>ウシ</t>
    </rPh>
    <rPh sb="13" eb="14">
      <t>マワ</t>
    </rPh>
    <rPh sb="16" eb="17">
      <t>テ</t>
    </rPh>
    <rPh sb="18" eb="20">
      <t>フキン</t>
    </rPh>
    <rPh sb="23" eb="24">
      <t>テキ</t>
    </rPh>
    <rPh sb="28" eb="29">
      <t>ミ</t>
    </rPh>
    <rPh sb="44" eb="46">
      <t>チサツ</t>
    </rPh>
    <rPh sb="46" eb="47">
      <t>オ</t>
    </rPh>
    <phoneticPr fontId="1"/>
  </si>
  <si>
    <t>けっこうやった</t>
    <phoneticPr fontId="1"/>
  </si>
  <si>
    <t>boss登場時のカメラ演出←完了,フェーズ終わりのカメラ演出←未完</t>
    <rPh sb="4" eb="7">
      <t>トウジョウジ</t>
    </rPh>
    <rPh sb="11" eb="13">
      <t>エンシュツ</t>
    </rPh>
    <rPh sb="14" eb="16">
      <t>カンリョウ</t>
    </rPh>
    <rPh sb="21" eb="22">
      <t>オ</t>
    </rPh>
    <rPh sb="28" eb="30">
      <t>エンシュツ</t>
    </rPh>
    <rPh sb="31" eb="33">
      <t>ミカン</t>
    </rPh>
    <phoneticPr fontId="1"/>
  </si>
  <si>
    <t>ボスを動かす←ほぼ完了←攻撃回りが変</t>
    <rPh sb="3" eb="4">
      <t>ウゴ</t>
    </rPh>
    <rPh sb="9" eb="11">
      <t>カンリョウ</t>
    </rPh>
    <rPh sb="12" eb="15">
      <t>コウゲキマワ</t>
    </rPh>
    <rPh sb="17" eb="18">
      <t>ヘン</t>
    </rPh>
    <phoneticPr fontId="1"/>
  </si>
  <si>
    <t>Relaseでも、裏コマンド入力でデバックの描画が見れるようにすると便利</t>
    <rPh sb="9" eb="10">
      <t>ウラ</t>
    </rPh>
    <rPh sb="14" eb="16">
      <t>ニュウリョク</t>
    </rPh>
    <rPh sb="22" eb="24">
      <t>ビョウガ</t>
    </rPh>
    <rPh sb="25" eb="26">
      <t>ミ</t>
    </rPh>
    <rPh sb="34" eb="36">
      <t>ベンリ</t>
    </rPh>
    <phoneticPr fontId="1"/>
  </si>
  <si>
    <t>Bossを倒した後のTimeScaleがなぜかかからない</t>
    <rPh sb="5" eb="6">
      <t>タオ</t>
    </rPh>
    <rPh sb="8" eb="9">
      <t>アト</t>
    </rPh>
    <phoneticPr fontId="1"/>
  </si>
  <si>
    <t>直した</t>
    <rPh sb="0" eb="1">
      <t>ナオ</t>
    </rPh>
    <phoneticPr fontId="1"/>
  </si>
  <si>
    <t>攻撃の当たり判定を出すタイミングをそろそろCSVに取り入れないといけない</t>
    <rPh sb="0" eb="2">
      <t>コウゲキ</t>
    </rPh>
    <rPh sb="3" eb="4">
      <t>ア</t>
    </rPh>
    <rPh sb="6" eb="8">
      <t>ハンテイ</t>
    </rPh>
    <rPh sb="9" eb="10">
      <t>ダ</t>
    </rPh>
    <rPh sb="25" eb="26">
      <t>ト</t>
    </rPh>
    <rPh sb="27" eb="28">
      <t>イ</t>
    </rPh>
    <phoneticPr fontId="1"/>
  </si>
  <si>
    <t>完了</t>
    <rPh sb="0" eb="2">
      <t>カンリョウ</t>
    </rPh>
    <phoneticPr fontId="1"/>
  </si>
  <si>
    <t>問題点</t>
    <rPh sb="0" eb="3">
      <t>モンダイテン</t>
    </rPh>
    <phoneticPr fontId="1"/>
  </si>
  <si>
    <t>完了</t>
    <rPh sb="0" eb="2">
      <t>カンリョウ</t>
    </rPh>
    <phoneticPr fontId="1"/>
  </si>
  <si>
    <t>イベント発火が死亡アニメーション途中なので、血殺で締めた場合、TimeScaleが上書きされてしまう←終わり</t>
    <rPh sb="4" eb="6">
      <t>ハッカ</t>
    </rPh>
    <rPh sb="7" eb="9">
      <t>シボウ</t>
    </rPh>
    <rPh sb="16" eb="18">
      <t>トチュウ</t>
    </rPh>
    <rPh sb="22" eb="24">
      <t>チサツ</t>
    </rPh>
    <rPh sb="25" eb="26">
      <t>シ</t>
    </rPh>
    <rPh sb="28" eb="30">
      <t>バアイ</t>
    </rPh>
    <rPh sb="41" eb="43">
      <t>ウワガ</t>
    </rPh>
    <rPh sb="51" eb="52">
      <t>オ</t>
    </rPh>
    <phoneticPr fontId="1"/>
  </si>
  <si>
    <t>イベント発火をその前の当たったタイミングにすると行けそうだが、他がどうなるかちょっと怪しいため決断できない←終わり</t>
    <rPh sb="4" eb="6">
      <t>ハッカ</t>
    </rPh>
    <rPh sb="9" eb="10">
      <t>マエ</t>
    </rPh>
    <rPh sb="11" eb="12">
      <t>ア</t>
    </rPh>
    <rPh sb="24" eb="25">
      <t>イ</t>
    </rPh>
    <rPh sb="31" eb="32">
      <t>ホカ</t>
    </rPh>
    <rPh sb="42" eb="43">
      <t>アヤ</t>
    </rPh>
    <rPh sb="47" eb="49">
      <t>ケツダン</t>
    </rPh>
    <rPh sb="54" eb="55">
      <t>オ</t>
    </rPh>
    <phoneticPr fontId="1"/>
  </si>
  <si>
    <t>ボスのそのイベントが発火したタイミングで敵を削除したい←終わり</t>
    <rPh sb="10" eb="12">
      <t>ハッカ</t>
    </rPh>
    <rPh sb="20" eb="21">
      <t>テキ</t>
    </rPh>
    <rPh sb="22" eb="24">
      <t>サクジョ</t>
    </rPh>
    <rPh sb="27" eb="29">
      <t>ヤジルシオ</t>
    </rPh>
    <phoneticPr fontId="1"/>
  </si>
  <si>
    <t>血殺カメラ遷移をイベント発火中はやめたい←終わり</t>
    <rPh sb="20" eb="22">
      <t>ヤジルシオ</t>
    </rPh>
    <phoneticPr fontId="1"/>
  </si>
  <si>
    <t>当たり判定を団子上でする、でその時のoffsetなどをIMGUIでやるのがよい</t>
    <rPh sb="0" eb="1">
      <t>ア</t>
    </rPh>
    <rPh sb="3" eb="5">
      <t>ハンテイ</t>
    </rPh>
    <rPh sb="6" eb="8">
      <t>ダンゴ</t>
    </rPh>
    <rPh sb="8" eb="9">
      <t>ジョウ</t>
    </rPh>
    <rPh sb="16" eb="17">
      <t>トキ</t>
    </rPh>
    <phoneticPr fontId="1"/>
  </si>
  <si>
    <t>プレイヤーに対してのフィードバックが少ないので、それをしっかり考えること</t>
    <rPh sb="6" eb="7">
      <t>タイ</t>
    </rPh>
    <rPh sb="18" eb="19">
      <t>スク</t>
    </rPh>
    <rPh sb="31" eb="32">
      <t>カンガ</t>
    </rPh>
    <phoneticPr fontId="1"/>
  </si>
  <si>
    <t>達成感を一つ一つ与えてあげる</t>
    <rPh sb="0" eb="3">
      <t>タッセイカン</t>
    </rPh>
    <rPh sb="4" eb="5">
      <t>ヒト</t>
    </rPh>
    <rPh sb="6" eb="7">
      <t>ヒト</t>
    </rPh>
    <rPh sb="8" eb="9">
      <t>アタ</t>
    </rPh>
    <phoneticPr fontId="1"/>
  </si>
  <si>
    <t>UIをしっかりしたものにする(ゲームとして見られる)</t>
    <rPh sb="21" eb="22">
      <t>ミ</t>
    </rPh>
    <phoneticPr fontId="1"/>
  </si>
  <si>
    <t>敵の配置をIMGUIで調整してそれをcsvでだすようにするといい</t>
    <rPh sb="0" eb="1">
      <t>テキ</t>
    </rPh>
    <rPh sb="2" eb="4">
      <t>ハイチ</t>
    </rPh>
    <rPh sb="11" eb="13">
      <t>チョウセイ</t>
    </rPh>
    <phoneticPr fontId="1"/>
  </si>
  <si>
    <t>シングルトンおおすぎ問題</t>
    <rPh sb="10" eb="12">
      <t>モンダイ</t>
    </rPh>
    <phoneticPr fontId="1"/>
  </si>
  <si>
    <r>
      <rPr>
        <sz val="11"/>
        <color rgb="FF242424"/>
        <rFont val="Yu Gothic"/>
        <family val="2"/>
      </rPr>
      <t>→バトルマネージャーを作って解決</t>
    </r>
    <rPh sb="11" eb="12">
      <t>ツク</t>
    </rPh>
    <rPh sb="14" eb="16">
      <t>カイケツ</t>
    </rPh>
    <phoneticPr fontId="1"/>
  </si>
  <si>
    <r>
      <rPr>
        <sz val="11"/>
        <color rgb="FF242424"/>
        <rFont val="Yu Gothic"/>
        <family val="2"/>
      </rPr>
      <t>（バトルマネージャーをシングルトンで持ち、外部からは、バトルマネージャーから呼び出す</t>
    </r>
    <rPh sb="18" eb="19">
      <t>モ</t>
    </rPh>
    <rPh sb="21" eb="23">
      <t>ガイブ</t>
    </rPh>
    <rPh sb="38" eb="39">
      <t>ヨ</t>
    </rPh>
    <rPh sb="40" eb="41">
      <t>ダ</t>
    </rPh>
    <phoneticPr fontId="1"/>
  </si>
  <si>
    <r>
      <rPr>
        <sz val="11"/>
        <color rgb="FF242424"/>
        <rFont val="Yu Gothic"/>
        <family val="2"/>
      </rPr>
      <t>ほかのマネージャーはバトルマネージャーが持っているという設計</t>
    </r>
    <rPh sb="20" eb="21">
      <t>モ</t>
    </rPh>
    <rPh sb="28" eb="30">
      <t>セッケイ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</si>
</sst>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
      <sz val="11"/>
      <color rgb="FF242424"/>
      <name val="Yu Gothic"/>
      <family val="2"/>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6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xf numFmtId="0" fontId="0" fillId="2" borderId="0" xfId="0" applyFill="1"/>
    <xf numFmtId="0" fontId="10" fillId="0" borderId="0" xfId="0" applyFont="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472</v>
      </c>
      <c r="D5" s="3">
        <f ca="1" xml:space="preserve"> C4 / C5</f>
        <v>5.2966101694915252E-2</v>
      </c>
    </row>
    <row r="6" spans="2:5">
      <c r="B6" s="7" t="s">
        <v>9</v>
      </c>
      <c r="C6" s="1">
        <f>DATE(2024,11,7)</f>
        <v>45603</v>
      </c>
    </row>
    <row r="7" spans="2:5">
      <c r="B7" s="8" t="s">
        <v>11</v>
      </c>
      <c r="C7" s="1">
        <f ca="1">TODAY()</f>
        <v>46262</v>
      </c>
    </row>
    <row r="9" spans="2:5">
      <c r="D9" t="s">
        <v>12</v>
      </c>
      <c r="E9" t="s">
        <v>13</v>
      </c>
    </row>
    <row r="10" spans="2:5">
      <c r="B10" s="4" t="s">
        <v>15</v>
      </c>
      <c r="C10" s="1">
        <f>DATE(2024,12,20)</f>
        <v>45646</v>
      </c>
      <c r="D10" s="2">
        <f ca="1">NETWORKDAYS(TODAY(),C10)</f>
        <v>-441</v>
      </c>
      <c r="E10" s="3">
        <f ca="1">($C$3 - $C$4) / D10</f>
        <v>-0.37868480725623582</v>
      </c>
    </row>
    <row r="11" spans="2:5">
      <c r="B11" s="9" t="s">
        <v>16</v>
      </c>
      <c r="C11" s="1">
        <f>DATE(2025,1,17)</f>
        <v>45674</v>
      </c>
      <c r="D11" s="2">
        <f ca="1">NETWORKDAYS(TODAY(),C11)</f>
        <v>-421</v>
      </c>
      <c r="E11" s="3">
        <f ca="1">($C$3 - $C$4) / D11</f>
        <v>-0.39667458432304037</v>
      </c>
    </row>
    <row r="12" spans="2:5">
      <c r="B12" s="6" t="s">
        <v>17</v>
      </c>
      <c r="C12" s="1">
        <f>DATE(2025,2,3)</f>
        <v>45691</v>
      </c>
      <c r="D12" s="2">
        <f ca="1">NETWORKDAYS(TODAY(),C12)</f>
        <v>-410</v>
      </c>
      <c r="E12" s="3">
        <f ca="1">($C$3 - $C$4) / D12</f>
        <v>-0.40731707317073168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3</v>
      </c>
      <c r="N3" s="10">
        <f ca="1">K3/M3</f>
        <v>33.666666666666664</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-42</v>
      </c>
      <c r="N4" s="10">
        <f ca="1">J4/M4</f>
        <v>-2.2380952380952381</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-18</v>
      </c>
      <c r="N5" s="10">
        <f t="shared" ref="N5:N6" ca="1" si="1">J5/M5</f>
        <v>-4.5555555555555554</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-1</v>
      </c>
      <c r="N6" s="10">
        <f t="shared" ca="1" si="1"/>
        <v>-16</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309"/>
  <sheetViews>
    <sheetView topLeftCell="A299" workbookViewId="0">
      <selection activeCell="C305" sqref="C305"/>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555</v>
      </c>
    </row>
    <row r="229" spans="2:4">
      <c r="B229" t="s">
        <v>553</v>
      </c>
      <c r="C229" s="57" t="s">
        <v>703</v>
      </c>
      <c r="D229" t="s">
        <v>710</v>
      </c>
    </row>
    <row r="230" spans="2:4">
      <c r="B230" t="s">
        <v>552</v>
      </c>
      <c r="C230" s="57" t="s">
        <v>546</v>
      </c>
      <c r="D230" t="s">
        <v>710</v>
      </c>
    </row>
    <row r="231" spans="2:4">
      <c r="B231" t="s">
        <v>552</v>
      </c>
      <c r="C231" s="57" t="s">
        <v>702</v>
      </c>
      <c r="D231" t="s">
        <v>683</v>
      </c>
    </row>
    <row r="232" spans="2:4">
      <c r="B232" t="s">
        <v>554</v>
      </c>
      <c r="C232" t="s">
        <v>547</v>
      </c>
    </row>
    <row r="233" spans="2:4">
      <c r="B233" t="s">
        <v>554</v>
      </c>
      <c r="C233" s="57" t="s">
        <v>549</v>
      </c>
      <c r="D233" t="s">
        <v>653</v>
      </c>
    </row>
    <row r="234" spans="2:4">
      <c r="B234" t="s">
        <v>553</v>
      </c>
      <c r="C234" t="s">
        <v>550</v>
      </c>
      <c r="D234" t="s">
        <v>653</v>
      </c>
    </row>
    <row r="235" spans="2:4">
      <c r="B235" t="s">
        <v>553</v>
      </c>
      <c r="C235" t="s">
        <v>551</v>
      </c>
    </row>
    <row r="236" spans="2:4">
      <c r="B236" t="s">
        <v>554</v>
      </c>
      <c r="C236" t="s">
        <v>548</v>
      </c>
      <c r="D236" t="s">
        <v>653</v>
      </c>
    </row>
    <row r="237" spans="2:4">
      <c r="B237" t="s">
        <v>553</v>
      </c>
      <c r="C237" t="s">
        <v>556</v>
      </c>
      <c r="D237" t="s">
        <v>652</v>
      </c>
    </row>
    <row r="238" spans="2:4">
      <c r="B238" t="s">
        <v>612</v>
      </c>
      <c r="C238" s="57" t="s">
        <v>611</v>
      </c>
      <c r="D238" t="s">
        <v>652</v>
      </c>
    </row>
    <row r="239" spans="2:4">
      <c r="B239" t="s">
        <v>612</v>
      </c>
      <c r="C239" s="57" t="s">
        <v>614</v>
      </c>
      <c r="D239" t="s">
        <v>652</v>
      </c>
    </row>
    <row r="240" spans="2:4">
      <c r="C240" s="32" t="s">
        <v>654</v>
      </c>
    </row>
    <row r="241" spans="1:4">
      <c r="B241" t="s">
        <v>613</v>
      </c>
      <c r="C241" t="s">
        <v>610</v>
      </c>
      <c r="D241" t="s">
        <v>701</v>
      </c>
    </row>
    <row r="242" spans="1:4">
      <c r="A242" s="1">
        <v>46258</v>
      </c>
      <c r="C242" t="s">
        <v>530</v>
      </c>
    </row>
    <row r="243" spans="1:4">
      <c r="C243" t="s">
        <v>561</v>
      </c>
    </row>
    <row r="244" spans="1:4">
      <c r="C244" t="s">
        <v>562</v>
      </c>
    </row>
    <row r="246" spans="1:4">
      <c r="C246" t="s">
        <v>569</v>
      </c>
    </row>
    <row r="247" spans="1:4">
      <c r="C247" t="s">
        <v>570</v>
      </c>
    </row>
    <row r="248" spans="1:4">
      <c r="C248" t="s">
        <v>592</v>
      </c>
    </row>
    <row r="249" spans="1:4">
      <c r="C249" t="s">
        <v>593</v>
      </c>
    </row>
    <row r="250" spans="1:4">
      <c r="C250" t="s">
        <v>608</v>
      </c>
    </row>
    <row r="251" spans="1:4">
      <c r="A251" s="1">
        <v>46259</v>
      </c>
      <c r="C251" t="s">
        <v>609</v>
      </c>
    </row>
    <row r="252" spans="1:4">
      <c r="C252" t="s">
        <v>615</v>
      </c>
    </row>
    <row r="253" spans="1:4">
      <c r="C253" t="s">
        <v>616</v>
      </c>
    </row>
    <row r="254" spans="1:4">
      <c r="C254" t="s">
        <v>617</v>
      </c>
    </row>
    <row r="255" spans="1:4">
      <c r="C255" t="s">
        <v>631</v>
      </c>
    </row>
    <row r="256" spans="1:4">
      <c r="C256" t="s">
        <v>632</v>
      </c>
    </row>
    <row r="257" spans="1:3">
      <c r="C257" t="s">
        <v>633</v>
      </c>
    </row>
    <row r="258" spans="1:3">
      <c r="C258" t="s">
        <v>634</v>
      </c>
    </row>
    <row r="259" spans="1:3">
      <c r="C259" t="s">
        <v>635</v>
      </c>
    </row>
    <row r="260" spans="1:3">
      <c r="C260" t="s">
        <v>636</v>
      </c>
    </row>
    <row r="261" spans="1:3">
      <c r="C261" t="s">
        <v>637</v>
      </c>
    </row>
    <row r="263" spans="1:3">
      <c r="C263" t="s">
        <v>638</v>
      </c>
    </row>
    <row r="264" spans="1:3">
      <c r="C264" t="s">
        <v>639</v>
      </c>
    </row>
    <row r="265" spans="1:3">
      <c r="A265" s="1">
        <v>46260</v>
      </c>
      <c r="C265" t="s">
        <v>640</v>
      </c>
    </row>
    <row r="266" spans="1:3">
      <c r="C266" t="s">
        <v>641</v>
      </c>
    </row>
    <row r="267" spans="1:3">
      <c r="C267" t="s">
        <v>642</v>
      </c>
    </row>
    <row r="268" spans="1:3">
      <c r="C268" t="s">
        <v>643</v>
      </c>
    </row>
    <row r="269" spans="1:3">
      <c r="C269" t="s">
        <v>644</v>
      </c>
    </row>
    <row r="270" spans="1:3">
      <c r="C270" t="s">
        <v>645</v>
      </c>
    </row>
    <row r="271" spans="1:3">
      <c r="C271" t="s">
        <v>646</v>
      </c>
    </row>
    <row r="272" spans="1:3">
      <c r="C272" t="s">
        <v>647</v>
      </c>
    </row>
    <row r="273" spans="1:4">
      <c r="C273" t="s">
        <v>648</v>
      </c>
    </row>
    <row r="275" spans="1:4">
      <c r="C275" t="s">
        <v>649</v>
      </c>
    </row>
    <row r="276" spans="1:4">
      <c r="B276" s="58" t="s">
        <v>651</v>
      </c>
      <c r="C276" s="58" t="s">
        <v>650</v>
      </c>
      <c r="D276" t="s">
        <v>708</v>
      </c>
    </row>
    <row r="277" spans="1:4">
      <c r="A277" s="1">
        <v>46261</v>
      </c>
      <c r="C277" t="s">
        <v>684</v>
      </c>
    </row>
    <row r="279" spans="1:4">
      <c r="C279" t="s">
        <v>682</v>
      </c>
    </row>
    <row r="280" spans="1:4">
      <c r="C280" t="s">
        <v>680</v>
      </c>
    </row>
    <row r="281" spans="1:4">
      <c r="C281" t="s">
        <v>681</v>
      </c>
    </row>
    <row r="282" spans="1:4">
      <c r="C282" t="s">
        <v>685</v>
      </c>
    </row>
    <row r="283" spans="1:4">
      <c r="C283" t="s">
        <v>686</v>
      </c>
    </row>
    <row r="284" spans="1:4">
      <c r="C284" t="s">
        <v>687</v>
      </c>
    </row>
    <row r="285" spans="1:4">
      <c r="C285" t="s">
        <v>688</v>
      </c>
    </row>
    <row r="286" spans="1:4">
      <c r="C286" t="s">
        <v>689</v>
      </c>
    </row>
    <row r="287" spans="1:4">
      <c r="C287" t="s">
        <v>690</v>
      </c>
    </row>
    <row r="288" spans="1:4">
      <c r="C288" t="s">
        <v>691</v>
      </c>
    </row>
    <row r="290" spans="3:3">
      <c r="C290" t="s">
        <v>692</v>
      </c>
    </row>
    <row r="291" spans="3:3">
      <c r="C291" t="s">
        <v>693</v>
      </c>
    </row>
    <row r="292" spans="3:3">
      <c r="C292" t="s">
        <v>694</v>
      </c>
    </row>
    <row r="293" spans="3:3">
      <c r="C293" t="s">
        <v>695</v>
      </c>
    </row>
    <row r="294" spans="3:3">
      <c r="C294" t="s">
        <v>696</v>
      </c>
    </row>
    <row r="295" spans="3:3">
      <c r="C295" t="s">
        <v>697</v>
      </c>
    </row>
    <row r="296" spans="3:3">
      <c r="C296" t="s">
        <v>698</v>
      </c>
    </row>
    <row r="297" spans="3:3">
      <c r="C297" t="s">
        <v>699</v>
      </c>
    </row>
    <row r="298" spans="3:3">
      <c r="C298" t="s">
        <v>700</v>
      </c>
    </row>
    <row r="300" spans="3:3">
      <c r="C300" t="s">
        <v>704</v>
      </c>
    </row>
    <row r="301" spans="3:3">
      <c r="C301" t="s">
        <v>705</v>
      </c>
    </row>
    <row r="302" spans="3:3">
      <c r="C302" t="s">
        <v>706</v>
      </c>
    </row>
    <row r="303" spans="3:3">
      <c r="C303" s="58" t="s">
        <v>707</v>
      </c>
    </row>
    <row r="305" spans="3:3">
      <c r="C305" t="s">
        <v>709</v>
      </c>
    </row>
    <row r="306" spans="3:3">
      <c r="C306" t="s">
        <v>711</v>
      </c>
    </row>
    <row r="307" spans="3:3">
      <c r="C307" t="s">
        <v>712</v>
      </c>
    </row>
    <row r="308" spans="3:3">
      <c r="C308" t="s">
        <v>713</v>
      </c>
    </row>
    <row r="309" spans="3:3">
      <c r="C309" t="s">
        <v>714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458A-D800-40F2-A389-E66EF82142B9}">
  <dimension ref="A1:R6"/>
  <sheetViews>
    <sheetView workbookViewId="0">
      <selection activeCell="A5" sqref="A5"/>
    </sheetView>
  </sheetViews>
  <sheetFormatPr defaultRowHeight="18.75"/>
  <sheetData>
    <row r="1" spans="1:18">
      <c r="A1" t="s">
        <v>42</v>
      </c>
      <c r="F1" t="s">
        <v>657</v>
      </c>
      <c r="L1" t="s">
        <v>659</v>
      </c>
      <c r="O1" t="s">
        <v>660</v>
      </c>
      <c r="R1" t="s">
        <v>663</v>
      </c>
    </row>
    <row r="2" spans="1:18">
      <c r="A2" t="s">
        <v>655</v>
      </c>
      <c r="F2" t="s">
        <v>661</v>
      </c>
      <c r="L2" t="s">
        <v>672</v>
      </c>
      <c r="O2" t="s">
        <v>668</v>
      </c>
      <c r="R2" t="s">
        <v>665</v>
      </c>
    </row>
    <row r="3" spans="1:18">
      <c r="A3" t="s">
        <v>656</v>
      </c>
      <c r="F3" t="s">
        <v>658</v>
      </c>
      <c r="L3" t="s">
        <v>673</v>
      </c>
      <c r="O3" t="s">
        <v>669</v>
      </c>
      <c r="R3" t="s">
        <v>666</v>
      </c>
    </row>
    <row r="4" spans="1:18">
      <c r="A4" t="s">
        <v>664</v>
      </c>
      <c r="F4" t="s">
        <v>662</v>
      </c>
      <c r="L4" t="s">
        <v>674</v>
      </c>
      <c r="O4" t="s">
        <v>670</v>
      </c>
      <c r="R4" t="s">
        <v>667</v>
      </c>
    </row>
    <row r="5" spans="1:18">
      <c r="F5" t="s">
        <v>671</v>
      </c>
      <c r="L5" t="s">
        <v>675</v>
      </c>
      <c r="O5" t="s">
        <v>677</v>
      </c>
    </row>
    <row r="6" spans="1:18">
      <c r="F6" t="s">
        <v>679</v>
      </c>
      <c r="L6" t="s">
        <v>676</v>
      </c>
      <c r="O6" t="s">
        <v>678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55"/>
  <sheetViews>
    <sheetView topLeftCell="A40" workbookViewId="0">
      <selection activeCell="I55" sqref="I55"/>
    </sheetView>
  </sheetViews>
  <sheetFormatPr defaultRowHeight="18.75"/>
  <sheetData>
    <row r="2" spans="1:2">
      <c r="A2" t="s">
        <v>566</v>
      </c>
      <c r="B2" t="s">
        <v>563</v>
      </c>
    </row>
    <row r="3" spans="1:2">
      <c r="B3" t="s">
        <v>564</v>
      </c>
    </row>
    <row r="4" spans="1:2">
      <c r="B4" t="s">
        <v>565</v>
      </c>
    </row>
    <row r="5" spans="1:2">
      <c r="A5" t="s">
        <v>566</v>
      </c>
      <c r="B5" t="s">
        <v>567</v>
      </c>
    </row>
    <row r="6" spans="1:2">
      <c r="B6" t="s">
        <v>568</v>
      </c>
    </row>
    <row r="9" spans="1:2">
      <c r="A9" t="s">
        <v>595</v>
      </c>
      <c r="B9" t="s">
        <v>594</v>
      </c>
    </row>
    <row r="11" spans="1:2">
      <c r="B11" t="s">
        <v>596</v>
      </c>
    </row>
    <row r="13" spans="1:2">
      <c r="B13" t="s">
        <v>597</v>
      </c>
    </row>
    <row r="14" spans="1:2">
      <c r="B14" t="s">
        <v>598</v>
      </c>
    </row>
    <row r="15" spans="1:2">
      <c r="B15" t="s">
        <v>599</v>
      </c>
    </row>
    <row r="16" spans="1:2">
      <c r="B16" t="s">
        <v>600</v>
      </c>
    </row>
    <row r="18" spans="2:2">
      <c r="B18" t="s">
        <v>601</v>
      </c>
    </row>
    <row r="19" spans="2:2">
      <c r="B19" t="s">
        <v>602</v>
      </c>
    </row>
    <row r="20" spans="2:2">
      <c r="B20" t="s">
        <v>603</v>
      </c>
    </row>
    <row r="21" spans="2:2">
      <c r="B21" t="s">
        <v>604</v>
      </c>
    </row>
    <row r="22" spans="2:2">
      <c r="B22" t="s">
        <v>605</v>
      </c>
    </row>
    <row r="24" spans="2:2">
      <c r="B24" t="s">
        <v>606</v>
      </c>
    </row>
    <row r="25" spans="2:2">
      <c r="B25" t="s">
        <v>607</v>
      </c>
    </row>
    <row r="27" spans="2:2">
      <c r="B27" t="s">
        <v>618</v>
      </c>
    </row>
    <row r="28" spans="2:2">
      <c r="B28" t="s">
        <v>619</v>
      </c>
    </row>
    <row r="29" spans="2:2">
      <c r="B29" t="s">
        <v>620</v>
      </c>
    </row>
    <row r="31" spans="2:2">
      <c r="B31" t="s">
        <v>621</v>
      </c>
    </row>
    <row r="32" spans="2:2">
      <c r="B32" t="s">
        <v>625</v>
      </c>
    </row>
    <row r="33" spans="2:2">
      <c r="B33" t="s">
        <v>626</v>
      </c>
    </row>
    <row r="35" spans="2:2">
      <c r="B35" t="s">
        <v>622</v>
      </c>
    </row>
    <row r="36" spans="2:2">
      <c r="B36" t="s">
        <v>623</v>
      </c>
    </row>
    <row r="38" spans="2:2">
      <c r="B38" t="s">
        <v>624</v>
      </c>
    </row>
    <row r="39" spans="2:2">
      <c r="B39" t="s">
        <v>627</v>
      </c>
    </row>
    <row r="41" spans="2:2">
      <c r="B41" t="s">
        <v>628</v>
      </c>
    </row>
    <row r="43" spans="2:2">
      <c r="B43" t="s">
        <v>629</v>
      </c>
    </row>
    <row r="45" spans="2:2">
      <c r="B45" t="s">
        <v>630</v>
      </c>
    </row>
    <row r="47" spans="2:2">
      <c r="B47" t="s">
        <v>638</v>
      </c>
    </row>
    <row r="48" spans="2:2">
      <c r="B48" t="s">
        <v>639</v>
      </c>
    </row>
    <row r="50" spans="2:2">
      <c r="B50" t="s">
        <v>715</v>
      </c>
    </row>
    <row r="51" spans="2:2">
      <c r="B51" t="s">
        <v>716</v>
      </c>
    </row>
    <row r="52" spans="2:2">
      <c r="B52" t="s">
        <v>717</v>
      </c>
    </row>
    <row r="53" spans="2:2">
      <c r="B53" t="s">
        <v>718</v>
      </c>
    </row>
    <row r="55" spans="2:2">
      <c r="B55" t="s">
        <v>719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7"/>
  <sheetViews>
    <sheetView tabSelected="1" topLeftCell="A16" workbookViewId="0">
      <selection activeCell="N19" sqref="N19"/>
    </sheetView>
  </sheetViews>
  <sheetFormatPr defaultRowHeight="18.75"/>
  <sheetData>
    <row r="2" spans="2:2">
      <c r="B2" s="55" t="s">
        <v>571</v>
      </c>
    </row>
    <row r="3" spans="2:2">
      <c r="B3" s="56" t="s">
        <v>572</v>
      </c>
    </row>
    <row r="4" spans="2:2">
      <c r="B4" s="56" t="s">
        <v>573</v>
      </c>
    </row>
    <row r="5" spans="2:2">
      <c r="B5" s="56" t="s">
        <v>574</v>
      </c>
    </row>
    <row r="6" spans="2:2">
      <c r="B6" s="56" t="s">
        <v>575</v>
      </c>
    </row>
    <row r="7" spans="2:2">
      <c r="B7" s="56" t="s">
        <v>576</v>
      </c>
    </row>
    <row r="8" spans="2:2">
      <c r="B8" s="56" t="s">
        <v>577</v>
      </c>
    </row>
    <row r="9" spans="2:2">
      <c r="B9" s="56" t="s">
        <v>578</v>
      </c>
    </row>
    <row r="10" spans="2:2">
      <c r="B10" s="56" t="s">
        <v>579</v>
      </c>
    </row>
    <row r="11" spans="2:2">
      <c r="B11" s="56" t="s">
        <v>580</v>
      </c>
    </row>
    <row r="12" spans="2:2">
      <c r="B12" s="56" t="s">
        <v>581</v>
      </c>
    </row>
    <row r="13" spans="2:2">
      <c r="B13" s="56" t="s">
        <v>582</v>
      </c>
    </row>
    <row r="14" spans="2:2">
      <c r="B14" s="56" t="s">
        <v>583</v>
      </c>
    </row>
    <row r="15" spans="2:2">
      <c r="B15" s="56" t="s">
        <v>584</v>
      </c>
    </row>
    <row r="16" spans="2:2">
      <c r="B16" s="56" t="s">
        <v>585</v>
      </c>
    </row>
    <row r="17" spans="2:2">
      <c r="B17" s="56" t="s">
        <v>586</v>
      </c>
    </row>
    <row r="18" spans="2:2">
      <c r="B18" s="56" t="s">
        <v>587</v>
      </c>
    </row>
    <row r="19" spans="2:2">
      <c r="B19" s="56" t="s">
        <v>588</v>
      </c>
    </row>
    <row r="20" spans="2:2">
      <c r="B20" s="56" t="s">
        <v>589</v>
      </c>
    </row>
    <row r="21" spans="2:2">
      <c r="B21" s="56" t="s">
        <v>590</v>
      </c>
    </row>
    <row r="22" spans="2:2">
      <c r="B22" s="56" t="s">
        <v>591</v>
      </c>
    </row>
    <row r="24" spans="2:2">
      <c r="B24" s="59" t="s">
        <v>720</v>
      </c>
    </row>
    <row r="25" spans="2:2">
      <c r="B25" s="56" t="s">
        <v>721</v>
      </c>
    </row>
    <row r="26" spans="2:2">
      <c r="B26" s="56" t="s">
        <v>722</v>
      </c>
    </row>
    <row r="27" spans="2:2">
      <c r="B27" s="56" t="s">
        <v>723</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557</v>
      </c>
    </row>
    <row r="3" spans="2:2">
      <c r="B3" t="s">
        <v>558</v>
      </c>
    </row>
    <row r="4" spans="2:2">
      <c r="B4" t="s">
        <v>559</v>
      </c>
    </row>
    <row r="5" spans="2:2">
      <c r="B5" t="s">
        <v>560</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概要</vt:lpstr>
      <vt:lpstr>作業工数見積もり</vt:lpstr>
      <vt:lpstr>カレンダー</vt:lpstr>
      <vt:lpstr>日記</vt:lpstr>
      <vt:lpstr>必要なUI,Effect</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泰稀（夏季インターン2026）</cp:lastModifiedBy>
  <cp:revision/>
  <dcterms:created xsi:type="dcterms:W3CDTF">2015-06-05T18:19:34Z</dcterms:created>
  <dcterms:modified xsi:type="dcterms:W3CDTF">2026-08-28T08:18:33Z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