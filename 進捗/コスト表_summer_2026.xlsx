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D3A2B68D-4F77-408A-90C9-4FC4608710B2}" xr6:coauthVersionLast="47" xr6:coauthVersionMax="47" xr10:uidLastSave="{00000000-0000-0000-0000-000000000000}"/>
  <bookViews>
    <workbookView xWindow="8205" yWindow="2685" windowWidth="20625" windowHeight="15585" firstSheet="2" activeTab="3" xr2:uid="{00000000-000D-0000-FFFF-FFFF00000000}"/>
  </bookViews>
  <sheets>
    <sheet name="概要" sheetId="5" r:id="rId1"/>
    <sheet name="作業工数見積もり" sheetId="1" r:id="rId2"/>
    <sheet name="カレンダー" sheetId="6" r:id="rId3"/>
    <sheet name="日記" sheetId="12" r:id="rId4"/>
    <sheet name="必要なUI,Effect" sheetId="20" r:id="rId5"/>
    <sheet name="インターン中気になったこと" sheetId="18" r:id="rId6"/>
    <sheet name="フィードバック" sheetId="19" r:id="rId7"/>
    <sheet name="Sheet1" sheetId="16" r:id="rId8"/>
    <sheet name="メモ" sheetId="9" r:id="rId9"/>
    <sheet name="雑用" sheetId="10" r:id="rId10"/>
    <sheet name="仕様書①" sheetId="13" r:id="rId11"/>
    <sheet name="仕様書②" sheetId="15" r:id="rId12"/>
    <sheet name="クラス設計" sheetId="14" r:id="rId13"/>
    <sheet name="Sheet2" sheetId="17" r:id="rId14"/>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<sst xmlns="http://schemas.openxmlformats.org/spreadsheetml/2006/main" count="976" uniqueCount="706">
  <si>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</si>
  <si>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</si>
  <si>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</si>
  <si>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</si>
  <si>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</si>
  <si>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</si>
  <si>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</si>
  <si>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</si>
  <si>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</si>
  <si>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</si>
  <si>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</si>
  <si>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</si>
  <si>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</si>
  <si>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</si>
  <si>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</si>
  <si>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</si>
  <si>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</si>
  <si>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</si>
  <si>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</si>
  <si>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</si>
  <si>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</si>
  <si>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</si>
  <si>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</si>
  <si>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</si>
  <si>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</si>
  <si>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</si>
  <si>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</si>
  <si>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</si>
  <si>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</si>
  <si>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</si>
  <si>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</si>
  <si>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</si>
  <si>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</si>
  <si>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</si>
  <si>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</si>
  <si>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</si>
  <si>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</si>
  <si>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</si>
  <si>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</si>
  <si>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</si>
  <si>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</si>
  <si>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</si>
  <si>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</si>
  <si>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</si>
  <si>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</si>
  <si>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</si>
  <si>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</si>
  <si>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</si>
  <si>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</si>
  <si>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</si>
  <si>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</si>
  <si>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</si>
  <si>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</si>
  <si>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</si>
  <si>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</si>
  <si>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</si>
  <si>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</si>
  <si>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</si>
  <si>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</si>
  <si>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</si>
  <si>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</si>
  <si>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</si>
  <si>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</si>
  <si>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</si>
  <si>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</si>
  <si>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</si>
  <si>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</si>
  <si>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</si>
  <si>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</si>
  <si>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</si>
  <si>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</si>
  <si>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</si>
  <si>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</si>
  <si>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</si>
  <si>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</si>
  <si>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</si>
  <si>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</si>
  <si>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</si>
  <si>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</si>
  <si>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</si>
  <si>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</si>
  <si>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</si>
  <si>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</si>
  <si>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</si>
  <si>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</si>
  <si>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</si>
  <si>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</si>
  <si>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</si>
  <si>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</si>
  <si>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</si>
  <si>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</si>
  <si>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</si>
  <si>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</si>
  <si>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</si>
  <si>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</si>
  <si>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</si>
  <si>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</si>
  <si>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</si>
  <si>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</si>
  <si>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</si>
  <si>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</si>
  <si>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</si>
  <si>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</si>
  <si>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</si>
  <si>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</si>
  <si>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</si>
  <si>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</si>
  <si>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</si>
  <si>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</si>
  <si>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</si>
  <si>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</si>
  <si>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</si>
  <si>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</si>
  <si>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</si>
  <si>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</si>
  <si>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</si>
  <si>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</si>
  <si>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</si>
  <si>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</si>
  <si>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</si>
  <si>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</si>
  <si>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</si>
  <si>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</si>
  <si>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</si>
  <si>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</si>
  <si>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</si>
  <si>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</si>
  <si>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</si>
  <si>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</si>
  <si>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</si>
  <si>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</si>
  <si>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</si>
  <si>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</si>
  <si>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</si>
  <si>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</si>
  <si>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</si>
  <si>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</si>
  <si>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</si>
  <si>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</si>
  <si>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</si>
  <si>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</si>
  <si>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</si>
  <si>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</si>
  <si>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</si>
  <si>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</si>
  <si>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</si>
  <si>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</si>
  <si>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</si>
  <si>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</si>
  <si>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</si>
  <si>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</si>
  <si>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</si>
  <si>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</si>
  <si>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</si>
  <si>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</si>
  <si>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</si>
  <si>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</si>
  <si>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</si>
  <si>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</si>
  <si>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</si>
  <si>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</si>
  <si>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</si>
  <si>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</si>
  <si>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</si>
  <si>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</si>
  <si>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</si>
  <si>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</si>
  <si>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</si>
  <si>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</si>
  <si>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</si>
  <si>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</si>
  <si>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</si>
  <si>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</si>
  <si>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</si>
  <si>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</si>
  <si>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</si>
  <si>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</si>
  <si>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</si>
  <si>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</si>
  <si>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</si>
  <si>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</si>
  <si>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</si>
  <si>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</si>
  <si>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</si>
  <si>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</si>
  <si>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</si>
  <si>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</si>
  <si>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</si>
  <si>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</si>
  <si>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</si>
  <si>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</si>
  <si>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</si>
  <si>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</si>
  <si>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</si>
  <si>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</si>
  <si>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</si>
  <si>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</si>
  <si>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</si>
  <si>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</si>
  <si>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</si>
  <si>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</si>
  <si>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</si>
  <si>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</si>
  <si>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</si>
  <si>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</si>
  <si>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</si>
  <si>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</si>
  <si>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</si>
  <si>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</si>
  <si>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</si>
  <si>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</si>
  <si>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</si>
  <si>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</si>
  <si>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</si>
  <si>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</si>
  <si>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</si>
  <si>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</si>
  <si>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</si>
  <si>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</si>
  <si>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</si>
  <si>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</si>
  <si>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</si>
  <si>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</si>
  <si>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</si>
  <si>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</si>
  <si>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</si>
  <si>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</si>
  <si>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</si>
  <si>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</si>
  <si>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</si>
  <si>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</si>
  <si>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</si>
  <si>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</si>
  <si>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</si>
  <si>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</si>
  <si>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</si>
  <si>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</si>
  <si>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</si>
  <si>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</si>
  <si>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</si>
  <si>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</si>
  <si>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</si>
  <si>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</si>
  <si>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</si>
  <si>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</si>
  <si>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</si>
  <si>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</si>
  <si>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</si>
  <si>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</si>
  <si>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</si>
  <si>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</si>
  <si>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</si>
  <si>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</si>
  <si>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</si>
  <si>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</si>
  <si>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</si>
  <si>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</si>
  <si>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</si>
  <si>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</si>
  <si>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</si>
  <si>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</si>
  <si>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</si>
  <si>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</si>
  <si>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</si>
  <si>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</si>
  <si>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</si>
  <si>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</si>
  <si>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</si>
  <si>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</si>
  <si>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</si>
  <si>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</si>
  <si>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</si>
  <si>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</si>
  <si>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</si>
  <si>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</si>
  <si>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</si>
  <si>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</si>
  <si>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</si>
  <si>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</si>
  <si>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</si>
  <si>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</si>
  <si>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</si>
  <si>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</si>
  <si>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</si>
  <si>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</si>
  <si>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</si>
  <si>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</si>
  <si>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</si>
  <si>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</si>
  <si>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</si>
  <si>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</si>
  <si>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</si>
  <si>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</si>
  <si>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</si>
  <si>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</si>
  <si>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</si>
  <si>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</si>
  <si>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</si>
  <si>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</si>
  <si>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</si>
  <si>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</si>
  <si>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</si>
  <si>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</si>
  <si>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</si>
  <si>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</si>
  <si>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</si>
  <si>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</si>
  <si>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</si>
  <si>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</si>
  <si>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</si>
  <si>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</si>
  <si>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</si>
  <si>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</si>
  <si>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</si>
  <si>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</si>
  <si>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</si>
  <si>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</si>
  <si>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</si>
  <si>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</si>
  <si>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</si>
  <si>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</si>
  <si>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</si>
  <si>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</si>
  <si>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</si>
  <si>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</si>
  <si>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</si>
  <si>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</si>
  <si>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</si>
  <si>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</si>
  <si>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</si>
  <si>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</si>
  <si>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</si>
  <si>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</si>
  <si>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</si>
  <si>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</si>
  <si>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</si>
  <si>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</si>
  <si>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</si>
  <si>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</si>
  <si>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</si>
  <si>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</si>
  <si>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</si>
  <si>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</si>
  <si>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</si>
  <si>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</si>
  <si>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</si>
  <si>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</si>
  <si>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</si>
  <si>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</si>
  <si>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</si>
  <si>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</si>
  <si>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</si>
  <si>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</si>
  <si>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</si>
  <si>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</si>
  <si>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</si>
  <si>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</si>
  <si>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</si>
  <si>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</si>
  <si>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</si>
  <si>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</si>
  <si>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</si>
  <si>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</si>
  <si>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</si>
  <si>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</si>
  <si>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</si>
  <si>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</si>
  <si>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</si>
  <si>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</si>
  <si>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</si>
  <si>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</si>
  <si>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</si>
  <si>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</si>
  <si>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</si>
  <si>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</si>
  <si>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</si>
  <si>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</si>
  <si>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</si>
  <si>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</si>
  <si>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</si>
  <si>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</si>
  <si>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</si>
  <si>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</si>
  <si>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</si>
  <si>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</si>
  <si>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</si>
  <si>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</si>
  <si>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</si>
  <si>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</si>
  <si>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</si>
  <si>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</si>
  <si>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</si>
  <si>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</si>
  <si>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</si>
  <si>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</si>
  <si>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</si>
  <si>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</si>
  <si>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</si>
  <si>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</si>
  <si>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</si>
  <si>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</si>
  <si>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</si>
  <si>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</si>
  <si>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</si>
  <si>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</si>
  <si>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</si>
  <si>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</si>
  <si>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</si>
  <si>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</si>
  <si>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</si>
  <si>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</si>
  <si>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</si>
  <si>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</si>
  <si>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</si>
  <si>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</si>
  <si>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</si>
  <si>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</si>
  <si>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</si>
  <si>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</si>
  <si>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</si>
  <si>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</si>
  <si>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</si>
  <si>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</si>
  <si>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</si>
  <si>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</si>
  <si>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</si>
  <si>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</si>
  <si>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</si>
  <si>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</si>
  <si>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</si>
  <si>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</si>
  <si>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</si>
  <si>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</si>
  <si>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</si>
  <si>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</si>
  <si>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</si>
  <si>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</si>
  <si>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</si>
  <si>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</si>
  <si>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</si>
  <si>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</si>
  <si>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</si>
  <si>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</si>
  <si>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</si>
  <si>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</si>
  <si>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</si>
  <si>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</si>
  <si>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</si>
  <si>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</si>
  <si>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</si>
  <si>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</si>
  <si>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</si>
  <si>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</si>
  <si>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</si>
  <si>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</si>
  <si>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</si>
  <si>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</si>
  <si>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</si>
  <si>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</si>
  <si>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</si>
  <si>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</si>
  <si>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</si>
  <si>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</si>
  <si>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</si>
  <si>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</si>
  <si>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</si>
  <si>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</si>
  <si>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</si>
  <si>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</si>
  <si>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</si>
  <si>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</si>
  <si>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</si>
  <si>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</si>
  <si>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</si>
  <si>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</si>
  <si>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</si>
  <si>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</si>
  <si>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</si>
  <si>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</si>
  <si>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</si>
  <si>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</si>
  <si>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</si>
  <si>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</si>
  <si>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</si>
  <si>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</si>
  <si>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</si>
  <si>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</si>
  <si>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</si>
  <si>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</si>
  <si>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</si>
  <si>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</si>
  <si>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</si>
  <si>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</si>
  <si>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</si>
  <si>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</si>
  <si>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</si>
  <si>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</si>
  <si>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</si>
  <si>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</si>
  <si>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</si>
  <si>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</si>
  <si>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</si>
  <si>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</si>
  <si>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</si>
  <si>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</si>
  <si>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</si>
  <si>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</si>
  <si>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</si>
  <si>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</si>
  <si>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</si>
  <si>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</si>
  <si>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</si>
  <si>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</si>
  <si>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</si>
  <si>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</si>
  <si>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</si>
  <si>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</si>
  <si>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</si>
  <si>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</si>
  <si>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</si>
  <si>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</si>
  <si>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</si>
  <si>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</si>
  <si>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</si>
  <si>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</si>
  <si>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</si>
  <si>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</si>
  <si>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</si>
  <si>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</si>
  <si>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</si>
  <si>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</si>
  <si>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</si>
  <si>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</si>
  <si>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</si>
  <si>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</si>
  <si>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</si>
  <si>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</si>
  <si>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</si>
  <si>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</si>
  <si>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</si>
  <si>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</si>
  <si>
    <t>近距離も、雑魚敵召喚も終わった</t>
    <rPh sb="0" eb="3">
      <t>キンキョリ</t>
    </rPh>
    <rPh sb="5" eb="10">
      <t>ザコテキショウカン</t>
    </rPh>
    <rPh sb="11" eb="12">
      <t>オ</t>
    </rPh>
    <phoneticPr fontId="1"/>
  </si>
  <si>
    <t>後は、ボスを丁寧に動かす、出現させる、スタンステート、ラストヒット演出って感じ</t>
    <rPh sb="0" eb="1">
      <t>アト</t>
    </rPh>
    <rPh sb="6" eb="8">
      <t>テイネイ</t>
    </rPh>
    <rPh sb="9" eb="10">
      <t>ウゴ</t>
    </rPh>
    <rPh sb="13" eb="15">
      <t>シュツゲン</t>
    </rPh>
    <rPh sb="33" eb="35">
      <t>エンシュツ</t>
    </rPh>
    <rPh sb="37" eb="38">
      <t>カン</t>
    </rPh>
    <phoneticPr fontId="1"/>
  </si>
  <si>
    <t>音をだす</t>
    <rPh sb="0" eb="1">
      <t>オト</t>
    </rPh>
    <phoneticPr fontId="1"/>
  </si>
  <si>
    <t>GameOverSceneの実装がまだだった</t>
    <rPh sb="14" eb="16">
      <t>ジッソウ</t>
    </rPh>
    <phoneticPr fontId="1"/>
  </si>
  <si>
    <t>残りタスク洗い出し</t>
    <rPh sb="0" eb="1">
      <t>ノコ</t>
    </rPh>
    <rPh sb="5" eb="6">
      <t>アラ</t>
    </rPh>
    <rPh sb="7" eb="8">
      <t>ダ</t>
    </rPh>
    <phoneticPr fontId="1"/>
  </si>
  <si>
    <t>ボス用の血殺を作る(最後の)</t>
    <rPh sb="2" eb="3">
      <t>ヨウ</t>
    </rPh>
    <rPh sb="4" eb="6">
      <t>チサツ</t>
    </rPh>
    <rPh sb="7" eb="8">
      <t>ツク</t>
    </rPh>
    <rPh sb="10" eb="12">
      <t>サイゴ</t>
    </rPh>
    <phoneticPr fontId="1"/>
  </si>
  <si>
    <t>UIをしっかりしたのに変える</t>
    <rPh sb="11" eb="12">
      <t>カ</t>
    </rPh>
    <phoneticPr fontId="1"/>
  </si>
  <si>
    <t>ポーズシーンを作る</t>
    <phoneticPr fontId="1"/>
  </si>
  <si>
    <t>ポーズシーンを作る(LT押したら、ボタンガイドが出るとかでも全然いい)</t>
    <rPh sb="12" eb="13">
      <t>オ</t>
    </rPh>
    <rPh sb="24" eb="25">
      <t>デ</t>
    </rPh>
    <rPh sb="30" eb="32">
      <t>ゼンゼン</t>
    </rPh>
    <phoneticPr fontId="1"/>
  </si>
  <si>
    <t>音をつける</t>
    <rPh sb="0" eb="1">
      <t>オト</t>
    </rPh>
    <phoneticPr fontId="1"/>
  </si>
  <si>
    <t>ゲームオーバーシーン(死でいい)</t>
    <rPh sb="11" eb="12">
      <t>シ</t>
    </rPh>
    <phoneticPr fontId="1"/>
  </si>
  <si>
    <t>C</t>
    <phoneticPr fontId="1"/>
  </si>
  <si>
    <t>S</t>
    <phoneticPr fontId="1"/>
  </si>
  <si>
    <t>A</t>
    <phoneticPr fontId="1"/>
  </si>
  <si>
    <t>3日</t>
    <rPh sb="1" eb="2">
      <t>ニチ</t>
    </rPh>
    <phoneticPr fontId="1"/>
  </si>
  <si>
    <t>回避を消す</t>
    <rPh sb="0" eb="2">
      <t>カイヒ</t>
    </rPh>
    <rPh sb="3" eb="4">
      <t>ケ</t>
    </rPh>
    <phoneticPr fontId="1"/>
  </si>
  <si>
    <t>ボスステート</t>
    <phoneticPr fontId="1"/>
  </si>
  <si>
    <t>Idle</t>
    <phoneticPr fontId="1"/>
  </si>
  <si>
    <t>Attack</t>
    <phoneticPr fontId="1"/>
  </si>
  <si>
    <t>Stun</t>
    <phoneticPr fontId="1"/>
  </si>
  <si>
    <t>LockOnManagerをつくる</t>
    <phoneticPr fontId="1"/>
  </si>
  <si>
    <t>CameraシステムをUnityのものからStatePatternのものにUpgradeする</t>
    <phoneticPr fontId="1"/>
  </si>
  <si>
    <t>当たり判定周りの修正案について</t>
    <rPh sb="0" eb="1">
      <t>ア</t>
    </rPh>
    <rPh sb="3" eb="5">
      <t>ハンテイ</t>
    </rPh>
    <rPh sb="5" eb="6">
      <t>マワ</t>
    </rPh>
    <rPh sb="8" eb="11">
      <t>シュウセイアン</t>
    </rPh>
    <phoneticPr fontId="1"/>
  </si>
  <si>
    <t>現状shared_ptrで管理しているせいで、参照が増えて、消したり登録したりが面倒</t>
    <rPh sb="0" eb="2">
      <t>ゲンジョウ</t>
    </rPh>
    <rPh sb="13" eb="15">
      <t>カンリ</t>
    </rPh>
    <rPh sb="23" eb="25">
      <t>サンショウ</t>
    </rPh>
    <rPh sb="26" eb="27">
      <t>フ</t>
    </rPh>
    <rPh sb="30" eb="31">
      <t>ケ</t>
    </rPh>
    <rPh sb="34" eb="36">
      <t>トウロク</t>
    </rPh>
    <rPh sb="40" eb="42">
      <t>メンドウ</t>
    </rPh>
    <phoneticPr fontId="1"/>
  </si>
  <si>
    <t>登録したり、登録解除したりが面倒</t>
    <rPh sb="0" eb="2">
      <t>トウロク</t>
    </rPh>
    <rPh sb="6" eb="10">
      <t>トウロクカイジョ</t>
    </rPh>
    <rPh sb="14" eb="16">
      <t>メンドウ</t>
    </rPh>
    <phoneticPr fontId="1"/>
  </si>
  <si>
    <t>・</t>
    <phoneticPr fontId="1"/>
  </si>
  <si>
    <t>ジャンプの時のカメラ挙動はどういう風にしているのか気になる</t>
    <rPh sb="5" eb="6">
      <t>トキ</t>
    </rPh>
    <rPh sb="10" eb="12">
      <t>キョドウ</t>
    </rPh>
    <rPh sb="17" eb="18">
      <t>フウ</t>
    </rPh>
    <rPh sb="25" eb="26">
      <t>キ</t>
    </rPh>
    <phoneticPr fontId="1"/>
  </si>
  <si>
    <t>ロックオンの時の注視点はどうしているのか気になる</t>
    <rPh sb="6" eb="7">
      <t>トキ</t>
    </rPh>
    <rPh sb="8" eb="10">
      <t>チュウシ</t>
    </rPh>
    <rPh sb="10" eb="11">
      <t>テン</t>
    </rPh>
    <rPh sb="20" eb="21">
      <t>キ</t>
    </rPh>
    <phoneticPr fontId="1"/>
  </si>
  <si>
    <t>playerにロックオンマネージャーを持たす</t>
    <rPh sb="19" eb="20">
      <t>モ</t>
    </rPh>
    <phoneticPr fontId="1"/>
  </si>
  <si>
    <t>そこからゲットさせる</t>
    <phoneticPr fontId="1"/>
  </si>
  <si>
    <t>【フィードバック内容】</t>
  </si>
  <si>
    <t>・カメラの切り替えが急すぎるため補間を入れる（ロックオン周りなど）</t>
  </si>
  <si>
    <t>・キャラクターがとった行動に対してのリアクションが薄い</t>
  </si>
  <si>
    <t>・Bボタンのアクションが何か分からない</t>
  </si>
  <si>
    <t>・空中でのアクションは出るのが正しい？</t>
  </si>
  <si>
    <t>・ポーズの機能</t>
  </si>
  <si>
    <t>・ロックオンカーソル</t>
  </si>
  <si>
    <t>・敵がどれくらいで倒せるのかが分からない</t>
  </si>
  <si>
    <t>・モーションとアクションが合っていない（足が滑っている）</t>
  </si>
  <si>
    <t>・画面が止まっている時間がある（タイトル）</t>
  </si>
  <si>
    <t>・必殺で片翼を出した時、プレイヤーに対して何かしらのフィードバックが欲しい</t>
  </si>
  <si>
    <t>・必殺でリソースが足りなかった時、足りなかったことが分からない</t>
  </si>
  <si>
    <t>・ゲージが分かり辛い（表現の工夫？）</t>
  </si>
  <si>
    <t>・ゲームの目的が分かる演出を入れる</t>
  </si>
  <si>
    <t>・次のウェーブに進んだことが分かる演出を入れる</t>
  </si>
  <si>
    <t>・歩き、ジャンプ、攻撃の踏み込みにエフェクトを入れる</t>
  </si>
  <si>
    <t>・敵死亡時、パッと消えないようにする</t>
  </si>
  <si>
    <t>・移動手段が歩きのみ（ステップやダッシュは不要？）</t>
  </si>
  <si>
    <t>・モーションと当たり判定が合っていない</t>
  </si>
  <si>
    <t>・打撃と斬撃で同じエフェクトが出ている</t>
  </si>
  <si>
    <t>・当たり判定を大きい球ではなく、複数の球を持つようにする</t>
  </si>
  <si>
    <t>GameSceneのロックオン処理は3つ</t>
    <rPh sb="15" eb="17">
      <t>ショリ</t>
    </rPh>
    <phoneticPr fontId="1"/>
  </si>
  <si>
    <t>ゲームシーン終了、次はplayerからattackColに渡したりしているところの変更</t>
    <rPh sb="6" eb="8">
      <t>シュウリョウ</t>
    </rPh>
    <rPh sb="9" eb="10">
      <t>ツギ</t>
    </rPh>
    <phoneticPr fontId="1"/>
  </si>
  <si>
    <t>コンボノードは一定時間攻撃していなかったら出す</t>
    <rPh sb="7" eb="11">
      <t>イッテイジカン</t>
    </rPh>
    <rPh sb="11" eb="13">
      <t>コウゲキ</t>
    </rPh>
    <rPh sb="21" eb="22">
      <t>ダ</t>
    </rPh>
    <phoneticPr fontId="1"/>
  </si>
  <si>
    <t>案</t>
    <rPh sb="0" eb="1">
      <t>アン</t>
    </rPh>
    <phoneticPr fontId="1"/>
  </si>
  <si>
    <t>敵の色が体力によって変わっていくと、敵がhpを減っていってるのがわかりやすい</t>
    <rPh sb="0" eb="1">
      <t>テキ</t>
    </rPh>
    <rPh sb="2" eb="3">
      <t>イロ</t>
    </rPh>
    <rPh sb="4" eb="6">
      <t>タイリョク</t>
    </rPh>
    <rPh sb="10" eb="11">
      <t>カ</t>
    </rPh>
    <rPh sb="18" eb="19">
      <t>テキ</t>
    </rPh>
    <rPh sb="23" eb="24">
      <t>ヘ</t>
    </rPh>
    <phoneticPr fontId="1"/>
  </si>
  <si>
    <t>翼をゲージないときは出さない</t>
    <rPh sb="0" eb="1">
      <t>ツバサ</t>
    </rPh>
    <rPh sb="10" eb="11">
      <t>ダ</t>
    </rPh>
    <phoneticPr fontId="1"/>
  </si>
  <si>
    <t>当たり判定を攻撃ごとに調整は優先度高い</t>
    <rPh sb="0" eb="1">
      <t>ア</t>
    </rPh>
    <rPh sb="3" eb="5">
      <t>ハンテイ</t>
    </rPh>
    <rPh sb="6" eb="8">
      <t>コウゲキ</t>
    </rPh>
    <rPh sb="11" eb="13">
      <t>チョウセイ</t>
    </rPh>
    <rPh sb="14" eb="17">
      <t>ユウセンド</t>
    </rPh>
    <rPh sb="17" eb="18">
      <t>タカ</t>
    </rPh>
    <phoneticPr fontId="1"/>
  </si>
  <si>
    <t>攻撃アニメーションの当たり判定を出すタイミングは割合ではなく、フレームで管理したほうがいい</t>
    <rPh sb="0" eb="2">
      <t>コウゲキ</t>
    </rPh>
    <rPh sb="10" eb="11">
      <t>ア</t>
    </rPh>
    <rPh sb="13" eb="15">
      <t>ハンテイ</t>
    </rPh>
    <rPh sb="16" eb="17">
      <t>ダ</t>
    </rPh>
    <rPh sb="24" eb="26">
      <t>ワリアイ</t>
    </rPh>
    <rPh sb="36" eb="38">
      <t>カンリ</t>
    </rPh>
    <phoneticPr fontId="1"/>
  </si>
  <si>
    <t>そっちのほうが直感的だから</t>
    <rPh sb="7" eb="10">
      <t>チョッカンテキ</t>
    </rPh>
    <phoneticPr fontId="1"/>
  </si>
  <si>
    <t>攻撃の当たり判定はしっかり剣に沿わせたほうがいい</t>
    <rPh sb="0" eb="2">
      <t>コウゲキ</t>
    </rPh>
    <rPh sb="3" eb="4">
      <t>ア</t>
    </rPh>
    <rPh sb="6" eb="8">
      <t>ハンテイ</t>
    </rPh>
    <rPh sb="13" eb="14">
      <t>ケン</t>
    </rPh>
    <rPh sb="15" eb="16">
      <t>ソ</t>
    </rPh>
    <phoneticPr fontId="1"/>
  </si>
  <si>
    <t>あたった位置をとれるというのと、見た目に忠実に沿っているから、</t>
    <rPh sb="4" eb="6">
      <t>イチ</t>
    </rPh>
    <rPh sb="16" eb="17">
      <t>ミ</t>
    </rPh>
    <rPh sb="18" eb="19">
      <t>メ</t>
    </rPh>
    <rPh sb="20" eb="22">
      <t>チュウジツ</t>
    </rPh>
    <rPh sb="23" eb="24">
      <t>ソ</t>
    </rPh>
    <phoneticPr fontId="1"/>
  </si>
  <si>
    <t>やられ判定は</t>
    <rPh sb="3" eb="5">
      <t>ハンテイ</t>
    </rPh>
    <phoneticPr fontId="1"/>
  </si>
  <si>
    <t>やられ判定は球で、押し戻しをシリンダー</t>
    <rPh sb="3" eb="5">
      <t>ハンテイ</t>
    </rPh>
    <rPh sb="6" eb="7">
      <t>キュウ</t>
    </rPh>
    <rPh sb="9" eb="10">
      <t>オ</t>
    </rPh>
    <rPh sb="11" eb="12">
      <t>モド</t>
    </rPh>
    <phoneticPr fontId="1"/>
  </si>
  <si>
    <t>理由は球同士の当たり判定が一番軽いから</t>
    <rPh sb="0" eb="2">
      <t>リユウ</t>
    </rPh>
    <rPh sb="3" eb="6">
      <t>キュウドウシ</t>
    </rPh>
    <rPh sb="7" eb="8">
      <t>ア</t>
    </rPh>
    <rPh sb="10" eb="12">
      <t>ハンテイ</t>
    </rPh>
    <rPh sb="13" eb="16">
      <t>イチバンカル</t>
    </rPh>
    <phoneticPr fontId="1"/>
  </si>
  <si>
    <t>扱いやすいならカプセルでもいいが、</t>
    <rPh sb="0" eb="1">
      <t>アツカ</t>
    </rPh>
    <phoneticPr fontId="1"/>
  </si>
  <si>
    <t>基本円柱とか球でいい</t>
    <rPh sb="0" eb="2">
      <t>キホン</t>
    </rPh>
    <rPh sb="2" eb="4">
      <t>エンチュウ</t>
    </rPh>
    <rPh sb="6" eb="7">
      <t>キュウ</t>
    </rPh>
    <phoneticPr fontId="1"/>
  </si>
  <si>
    <t>↑の処理をすべて終了</t>
    <rPh sb="2" eb="4">
      <t>ショリ</t>
    </rPh>
    <rPh sb="8" eb="10">
      <t>シュウリョウ</t>
    </rPh>
    <phoneticPr fontId="1"/>
  </si>
  <si>
    <t>今日からカメラステートに実装変更する</t>
    <rPh sb="0" eb="2">
      <t>キョウ</t>
    </rPh>
    <rPh sb="12" eb="14">
      <t>ジッソウ</t>
    </rPh>
    <rPh sb="14" eb="16">
      <t>ヘンコウ</t>
    </rPh>
    <phoneticPr fontId="1"/>
  </si>
  <si>
    <t>カメラのツールを作る(アリかナシかでいうとナシより)</t>
    <rPh sb="8" eb="9">
      <t>ツク</t>
    </rPh>
    <phoneticPr fontId="1"/>
  </si>
  <si>
    <t>カメラをUnity風ではなくて、CameraStateで動かすようにする</t>
    <rPh sb="9" eb="10">
      <t>フウ</t>
    </rPh>
    <rPh sb="28" eb="29">
      <t>ウゴ</t>
    </rPh>
    <phoneticPr fontId="1"/>
  </si>
  <si>
    <t>S</t>
    <phoneticPr fontId="1"/>
  </si>
  <si>
    <t>C</t>
    <phoneticPr fontId="1"/>
  </si>
  <si>
    <t>内部ターゲットの作りの変更</t>
    <rPh sb="0" eb="2">
      <t>ナイブ</t>
    </rPh>
    <rPh sb="8" eb="9">
      <t>ツク</t>
    </rPh>
    <rPh sb="11" eb="13">
      <t>ヘンコウ</t>
    </rPh>
    <phoneticPr fontId="1"/>
  </si>
  <si>
    <t>先にtargetの処理の修正をする</t>
    <rPh sb="0" eb="1">
      <t>サキ</t>
    </rPh>
    <rPh sb="9" eb="11">
      <t>ショリ</t>
    </rPh>
    <rPh sb="12" eb="14">
      <t>シュウセイ</t>
    </rPh>
    <phoneticPr fontId="1"/>
  </si>
  <si>
    <t>まずは、Playerの中で攻撃が初めて当たった時の処理、2回目以降の処理みたいな感じでまとめる</t>
    <rPh sb="11" eb="12">
      <t>ナカ</t>
    </rPh>
    <rPh sb="13" eb="15">
      <t>コウゲキ</t>
    </rPh>
    <rPh sb="16" eb="17">
      <t>ハジ</t>
    </rPh>
    <rPh sb="25" eb="27">
      <t>ショリ</t>
    </rPh>
    <rPh sb="29" eb="31">
      <t>カイメ</t>
    </rPh>
    <rPh sb="31" eb="33">
      <t>イコウ</t>
    </rPh>
    <rPh sb="34" eb="36">
      <t>ショリ</t>
    </rPh>
    <rPh sb="40" eb="41">
      <t>カン</t>
    </rPh>
    <phoneticPr fontId="1"/>
  </si>
  <si>
    <t>(これをすることで、カメラが毎回ぶれる問題もなくなるはず</t>
    <rPh sb="14" eb="16">
      <t>マイカイ</t>
    </rPh>
    <rPh sb="19" eb="21">
      <t>モンダイ</t>
    </rPh>
    <phoneticPr fontId="1"/>
  </si>
  <si>
    <t>攻撃の移動と歩きの移動は分けて扱う</t>
    <rPh sb="0" eb="2">
      <t>コウゲキ</t>
    </rPh>
    <rPh sb="3" eb="5">
      <t>イドウ</t>
    </rPh>
    <rPh sb="6" eb="7">
      <t>アル</t>
    </rPh>
    <rPh sb="9" eb="11">
      <t>イドウ</t>
    </rPh>
    <rPh sb="12" eb="13">
      <t>ワ</t>
    </rPh>
    <rPh sb="15" eb="16">
      <t>アツカ</t>
    </rPh>
    <phoneticPr fontId="1"/>
  </si>
  <si>
    <t>攻撃は速度が一定ではなく、加速度や、減速をしたりするから</t>
    <rPh sb="0" eb="2">
      <t>コウゲキ</t>
    </rPh>
    <rPh sb="3" eb="5">
      <t>ソクド</t>
    </rPh>
    <rPh sb="6" eb="8">
      <t>イッテイ</t>
    </rPh>
    <rPh sb="13" eb="16">
      <t>カソクド</t>
    </rPh>
    <rPh sb="18" eb="20">
      <t>ゲンソク</t>
    </rPh>
    <phoneticPr fontId="1"/>
  </si>
  <si>
    <t>やられは初速とかを与えて、放物線に任せる</t>
    <rPh sb="4" eb="6">
      <t>ショソク</t>
    </rPh>
    <rPh sb="9" eb="10">
      <t>アタ</t>
    </rPh>
    <rPh sb="13" eb="16">
      <t>ホウブツセン</t>
    </rPh>
    <rPh sb="17" eb="18">
      <t>マカ</t>
    </rPh>
    <phoneticPr fontId="1"/>
  </si>
  <si>
    <t>速度の初期化問題について</t>
    <rPh sb="0" eb="2">
      <t>ソクド</t>
    </rPh>
    <rPh sb="3" eb="8">
      <t>ショキカモンダイ</t>
    </rPh>
    <phoneticPr fontId="1"/>
  </si>
  <si>
    <t>加速度はあったほうがいい</t>
    <rPh sb="0" eb="3">
      <t>カソクド</t>
    </rPh>
    <phoneticPr fontId="1"/>
  </si>
  <si>
    <t>ステート切り替え時に速度をリセットするかどうかのフラグはあったほうがいい</t>
    <rPh sb="4" eb="5">
      <t>キ</t>
    </rPh>
    <rPh sb="6" eb="7">
      <t>カ</t>
    </rPh>
    <rPh sb="8" eb="9">
      <t>ジ</t>
    </rPh>
    <rPh sb="10" eb="12">
      <t>ソクド</t>
    </rPh>
    <phoneticPr fontId="1"/>
  </si>
  <si>
    <t>Stateを継承前提の作りにすることで、作らなくていいステートが生まれてくるからそういう設計にする(ジャンプとかは一緒になりやすい)</t>
    <rPh sb="6" eb="8">
      <t>ケイショウ</t>
    </rPh>
    <rPh sb="8" eb="10">
      <t>ゼンテイ</t>
    </rPh>
    <rPh sb="11" eb="12">
      <t>ツク</t>
    </rPh>
    <rPh sb="20" eb="21">
      <t>ツク</t>
    </rPh>
    <rPh sb="32" eb="33">
      <t>ウ</t>
    </rPh>
    <rPh sb="44" eb="46">
      <t>セッケイ</t>
    </rPh>
    <rPh sb="57" eb="59">
      <t>イッショ</t>
    </rPh>
    <phoneticPr fontId="1"/>
  </si>
  <si>
    <t>そもそもStateの中だと速度を毎フレーム初期化などをしなくていい可能性が高い</t>
    <rPh sb="10" eb="11">
      <t>ナカ</t>
    </rPh>
    <rPh sb="13" eb="15">
      <t>ソクド</t>
    </rPh>
    <rPh sb="16" eb="17">
      <t>マイ</t>
    </rPh>
    <rPh sb="21" eb="24">
      <t>ショキカ</t>
    </rPh>
    <rPh sb="33" eb="36">
      <t>カノウセイ</t>
    </rPh>
    <rPh sb="37" eb="38">
      <t>タカ</t>
    </rPh>
    <phoneticPr fontId="1"/>
  </si>
  <si>
    <t>(今回はEnemyをstateの分けていないからわけている</t>
    <rPh sb="1" eb="3">
      <t>コンカイ</t>
    </rPh>
    <rPh sb="16" eb="17">
      <t>ワ</t>
    </rPh>
    <phoneticPr fontId="1"/>
  </si>
  <si>
    <t>速度をmapで持つのは管理しにくいからあらかじめ複数個持つのがいい</t>
    <rPh sb="0" eb="2">
      <t>ソクド</t>
    </rPh>
    <rPh sb="7" eb="8">
      <t>モ</t>
    </rPh>
    <rPh sb="11" eb="13">
      <t>カンリ</t>
    </rPh>
    <rPh sb="24" eb="27">
      <t>フクスウコ</t>
    </rPh>
    <rPh sb="27" eb="28">
      <t>モ</t>
    </rPh>
    <phoneticPr fontId="1"/>
  </si>
  <si>
    <t>Hit時もその敵のポインタ事態を渡すのではなく、敵のデータの構造体を渡す</t>
    <rPh sb="3" eb="4">
      <t>ジ</t>
    </rPh>
    <rPh sb="7" eb="8">
      <t>テキ</t>
    </rPh>
    <rPh sb="13" eb="15">
      <t>ジタイ</t>
    </rPh>
    <rPh sb="16" eb="17">
      <t>ワタ</t>
    </rPh>
    <rPh sb="24" eb="25">
      <t>テキ</t>
    </rPh>
    <rPh sb="30" eb="33">
      <t>コウゾウタイ</t>
    </rPh>
    <rPh sb="34" eb="35">
      <t>ワタ</t>
    </rPh>
    <phoneticPr fontId="1"/>
  </si>
  <si>
    <t>空中時には回転制御というのがあり、rateを設けることで、空中でぐるぐる動かない用にできる</t>
    <rPh sb="0" eb="3">
      <t>クウチュウジ</t>
    </rPh>
    <rPh sb="5" eb="7">
      <t>カイテン</t>
    </rPh>
    <rPh sb="7" eb="9">
      <t>セイギョ</t>
    </rPh>
    <rPh sb="22" eb="23">
      <t>モウ</t>
    </rPh>
    <rPh sb="29" eb="31">
      <t>クウチュウ</t>
    </rPh>
    <rPh sb="36" eb="37">
      <t>ウゴ</t>
    </rPh>
    <rPh sb="40" eb="41">
      <t>ヨウ</t>
    </rPh>
    <phoneticPr fontId="1"/>
  </si>
  <si>
    <t>それぞれのステートの時はこの移動速度、加速度を参照するというCSVを作るのがよい(かなりあり)</t>
    <rPh sb="10" eb="11">
      <t>トキ</t>
    </rPh>
    <rPh sb="14" eb="16">
      <t>イドウ</t>
    </rPh>
    <rPh sb="16" eb="18">
      <t>ソクド</t>
    </rPh>
    <rPh sb="19" eb="22">
      <t>カソクド</t>
    </rPh>
    <rPh sb="23" eb="25">
      <t>サンショウ</t>
    </rPh>
    <rPh sb="34" eb="35">
      <t>ツク</t>
    </rPh>
    <phoneticPr fontId="1"/>
  </si>
  <si>
    <t>ロックオンしていないときのプレイやー挙動について聞いた</t>
    <rPh sb="18" eb="20">
      <t>キョドウ</t>
    </rPh>
    <rPh sb="24" eb="25">
      <t>キ</t>
    </rPh>
    <phoneticPr fontId="1"/>
  </si>
  <si>
    <t>雑に言うと、基本はスティック移動を優先する</t>
    <rPh sb="0" eb="1">
      <t>ザツ</t>
    </rPh>
    <rPh sb="2" eb="3">
      <t>イ</t>
    </rPh>
    <rPh sb="6" eb="8">
      <t>キホン</t>
    </rPh>
    <rPh sb="14" eb="16">
      <t>イドウ</t>
    </rPh>
    <rPh sb="17" eb="19">
      <t>ユウセン</t>
    </rPh>
    <phoneticPr fontId="1"/>
  </si>
  <si>
    <t>targetの処理の修正終わり</t>
    <rPh sb="7" eb="9">
      <t>ショリ</t>
    </rPh>
    <rPh sb="10" eb="12">
      <t>シュウセイ</t>
    </rPh>
    <rPh sb="12" eb="13">
      <t>オ</t>
    </rPh>
    <phoneticPr fontId="1"/>
  </si>
  <si>
    <t>次は、cameraStateパターンの実装をする</t>
    <rPh sb="0" eb="1">
      <t>ツギ</t>
    </rPh>
    <rPh sb="19" eb="21">
      <t>ジッソウ</t>
    </rPh>
    <phoneticPr fontId="1"/>
  </si>
  <si>
    <t>まずは、ゲームシーンでplayerCameraのみで移植をする</t>
    <rPh sb="26" eb="28">
      <t>イショク</t>
    </rPh>
    <phoneticPr fontId="1"/>
  </si>
  <si>
    <t>そのあと、ほかのカメラでの移植も終える、</t>
    <rPh sb="13" eb="15">
      <t>イショク</t>
    </rPh>
    <rPh sb="16" eb="17">
      <t>オ</t>
    </rPh>
    <phoneticPr fontId="1"/>
  </si>
  <si>
    <t>最後にカメラのラープに関する関数を作る</t>
    <rPh sb="0" eb="2">
      <t>サイゴ</t>
    </rPh>
    <rPh sb="11" eb="12">
      <t>カン</t>
    </rPh>
    <rPh sb="14" eb="16">
      <t>カンスウ</t>
    </rPh>
    <rPh sb="17" eb="18">
      <t>ツク</t>
    </rPh>
    <phoneticPr fontId="1"/>
  </si>
  <si>
    <t>スキル攻撃を振ったら血を地面にテクスチャを貼り付けるとかめちゃくちゃいい</t>
    <rPh sb="3" eb="5">
      <t>コウゲキ</t>
    </rPh>
    <rPh sb="6" eb="7">
      <t>フ</t>
    </rPh>
    <rPh sb="10" eb="11">
      <t>チ</t>
    </rPh>
    <rPh sb="12" eb="14">
      <t>ジメン</t>
    </rPh>
    <rPh sb="21" eb="22">
      <t>ハ</t>
    </rPh>
    <rPh sb="23" eb="24">
      <t>ツ</t>
    </rPh>
    <phoneticPr fontId="1"/>
  </si>
  <si>
    <t>草をポリゴンで表示させて、2分割して上部分を揺らすとぽい</t>
    <rPh sb="0" eb="1">
      <t>クサ</t>
    </rPh>
    <rPh sb="7" eb="9">
      <t>ヒョウジ</t>
    </rPh>
    <rPh sb="14" eb="16">
      <t>ブンカツ</t>
    </rPh>
    <rPh sb="18" eb="21">
      <t>ウエブブン</t>
    </rPh>
    <rPh sb="22" eb="23">
      <t>ユ</t>
    </rPh>
    <phoneticPr fontId="1"/>
  </si>
  <si>
    <t>ロックオンカメラの時のプレイヤーの入力方向などを直す</t>
    <rPh sb="9" eb="10">
      <t>トキ</t>
    </rPh>
    <rPh sb="17" eb="21">
      <t>ニュウリョクホウコウ</t>
    </rPh>
    <rPh sb="24" eb="25">
      <t>ナオ</t>
    </rPh>
    <phoneticPr fontId="1"/>
  </si>
  <si>
    <t>直した</t>
    <rPh sb="0" eb="1">
      <t>ナオ</t>
    </rPh>
    <phoneticPr fontId="1"/>
  </si>
  <si>
    <t>PlayerStateRun,Avoidを消した</t>
    <rPh sb="21" eb="22">
      <t>ケ</t>
    </rPh>
    <phoneticPr fontId="1"/>
  </si>
  <si>
    <t>今から、カメラの揺れ機能を追加しながら、UltCamのステートじっそうをする</t>
    <rPh sb="0" eb="1">
      <t>イマ</t>
    </rPh>
    <rPh sb="8" eb="9">
      <t>ユ</t>
    </rPh>
    <rPh sb="10" eb="12">
      <t>キノウ</t>
    </rPh>
    <rPh sb="13" eb="15">
      <t>ツイカ</t>
    </rPh>
    <phoneticPr fontId="1"/>
  </si>
  <si>
    <t>カメラの機能追加終わり、UltCamの実装も終わり、Titlecamの実装も終わり</t>
    <rPh sb="4" eb="6">
      <t>キノウ</t>
    </rPh>
    <rPh sb="6" eb="8">
      <t>ツイカ</t>
    </rPh>
    <rPh sb="8" eb="9">
      <t>オ</t>
    </rPh>
    <rPh sb="19" eb="21">
      <t>ジッソウ</t>
    </rPh>
    <rPh sb="22" eb="23">
      <t>オ</t>
    </rPh>
    <rPh sb="35" eb="37">
      <t>ジッソウ</t>
    </rPh>
    <rPh sb="38" eb="39">
      <t>オ</t>
    </rPh>
    <phoneticPr fontId="1"/>
  </si>
  <si>
    <t>今から、基底クラスのラープ実装、各ステートの初期値などの細かい設定に入る</t>
    <rPh sb="0" eb="1">
      <t>イマ</t>
    </rPh>
    <rPh sb="4" eb="6">
      <t>キテイ</t>
    </rPh>
    <rPh sb="13" eb="15">
      <t>ジッソウ</t>
    </rPh>
    <rPh sb="16" eb="17">
      <t>カク</t>
    </rPh>
    <rPh sb="22" eb="25">
      <t>ショキチ</t>
    </rPh>
    <rPh sb="28" eb="29">
      <t>コマ</t>
    </rPh>
    <rPh sb="31" eb="33">
      <t>セッテイ</t>
    </rPh>
    <rPh sb="34" eb="35">
      <t>ハイ</t>
    </rPh>
    <phoneticPr fontId="1"/>
  </si>
  <si>
    <t>ラープについて</t>
    <phoneticPr fontId="1"/>
  </si>
  <si>
    <t>Slerpするかどうか（その場合の基軸など),lerpするかどうか、どのくらいの割合でするか、強度などの項目をしらべないといけない</t>
    <rPh sb="14" eb="16">
      <t>バアイ</t>
    </rPh>
    <rPh sb="17" eb="19">
      <t>キジク</t>
    </rPh>
    <rPh sb="40" eb="42">
      <t>ワリアイ</t>
    </rPh>
    <rPh sb="47" eb="49">
      <t>キョウド</t>
    </rPh>
    <rPh sb="52" eb="54">
      <t>コウモク</t>
    </rPh>
    <phoneticPr fontId="1"/>
  </si>
  <si>
    <t>Changeの時にだれがどこで設定するのかも決める</t>
    <rPh sb="7" eb="8">
      <t>トキ</t>
    </rPh>
    <rPh sb="15" eb="17">
      <t>セッテイ</t>
    </rPh>
    <rPh sb="22" eb="23">
      <t>キ</t>
    </rPh>
    <phoneticPr fontId="1"/>
  </si>
  <si>
    <t>ネズミけるときすろーにしてもいいかも(TitleScene上で</t>
    <rPh sb="29" eb="30">
      <t>ジョウ</t>
    </rPh>
    <phoneticPr fontId="1"/>
  </si>
  <si>
    <t>IMGUIを導入する</t>
    <rPh sb="6" eb="8">
      <t>ドウニュウ</t>
    </rPh>
    <phoneticPr fontId="1"/>
  </si>
  <si>
    <t>優先度高</t>
    <rPh sb="0" eb="3">
      <t>ユウセンド</t>
    </rPh>
    <rPh sb="3" eb="4">
      <t>タカ</t>
    </rPh>
    <phoneticPr fontId="1"/>
  </si>
  <si>
    <t>終わり</t>
    <rPh sb="0" eb="1">
      <t>オ</t>
    </rPh>
    <phoneticPr fontId="1"/>
  </si>
  <si>
    <t>途中</t>
    <rPh sb="0" eb="2">
      <t>トチュウ</t>
    </rPh>
    <phoneticPr fontId="1"/>
  </si>
  <si>
    <t>必要なエフェクト制作（ステージ終わりのやつとか制限の壁とか</t>
    <rPh sb="0" eb="2">
      <t>ヒツヨウ</t>
    </rPh>
    <rPh sb="8" eb="10">
      <t>セイサク</t>
    </rPh>
    <rPh sb="15" eb="16">
      <t>オ</t>
    </rPh>
    <rPh sb="23" eb="25">
      <t>セイゲン</t>
    </rPh>
    <rPh sb="26" eb="27">
      <t>カベ</t>
    </rPh>
    <phoneticPr fontId="1"/>
  </si>
  <si>
    <t>文字フォント</t>
    <rPh sb="0" eb="2">
      <t>モジ</t>
    </rPh>
    <phoneticPr fontId="1"/>
  </si>
  <si>
    <t>ロックオンカーソル</t>
    <phoneticPr fontId="1"/>
  </si>
  <si>
    <t>Effect</t>
    <phoneticPr fontId="1"/>
  </si>
  <si>
    <t>切り上げ攻撃時の足元から出すエフェクト</t>
    <rPh sb="0" eb="1">
      <t>キ</t>
    </rPh>
    <rPh sb="6" eb="7">
      <t>ジ</t>
    </rPh>
    <rPh sb="8" eb="10">
      <t>アシモト</t>
    </rPh>
    <rPh sb="12" eb="13">
      <t>ダ</t>
    </rPh>
    <phoneticPr fontId="1"/>
  </si>
  <si>
    <t>BGM</t>
    <phoneticPr fontId="1"/>
  </si>
  <si>
    <t>SE</t>
    <phoneticPr fontId="1"/>
  </si>
  <si>
    <t>攻撃のHitEffect（剣と格闘で分ける</t>
    <rPh sb="0" eb="2">
      <t>コウゲキ</t>
    </rPh>
    <rPh sb="13" eb="14">
      <t>ケン</t>
    </rPh>
    <rPh sb="15" eb="17">
      <t>カクトウ</t>
    </rPh>
    <rPh sb="18" eb="19">
      <t>ワ</t>
    </rPh>
    <phoneticPr fontId="1"/>
  </si>
  <si>
    <t>ステージのフェーズ終わり時の解放エフェクト</t>
    <rPh sb="9" eb="10">
      <t>オ</t>
    </rPh>
    <rPh sb="12" eb="13">
      <t>ジ</t>
    </rPh>
    <rPh sb="14" eb="16">
      <t>カイホウ</t>
    </rPh>
    <phoneticPr fontId="1"/>
  </si>
  <si>
    <t>細かい残りタスク</t>
    <rPh sb="0" eb="1">
      <t>コマ</t>
    </rPh>
    <rPh sb="3" eb="4">
      <t>ノコ</t>
    </rPh>
    <phoneticPr fontId="1"/>
  </si>
  <si>
    <t>GameOverの死</t>
    <rPh sb="9" eb="10">
      <t>シ</t>
    </rPh>
    <phoneticPr fontId="1"/>
  </si>
  <si>
    <t>GameOver</t>
    <phoneticPr fontId="1"/>
  </si>
  <si>
    <t>GameClear</t>
    <phoneticPr fontId="1"/>
  </si>
  <si>
    <t>pauseScene</t>
    <phoneticPr fontId="1"/>
  </si>
  <si>
    <t>剣のヒット音</t>
    <rPh sb="0" eb="1">
      <t>ケン</t>
    </rPh>
    <rPh sb="5" eb="6">
      <t>オン</t>
    </rPh>
    <phoneticPr fontId="1"/>
  </si>
  <si>
    <t>打撃のヒット音</t>
    <rPh sb="0" eb="2">
      <t>ダゲキ</t>
    </rPh>
    <rPh sb="6" eb="7">
      <t>オン</t>
    </rPh>
    <phoneticPr fontId="1"/>
  </si>
  <si>
    <t>敵のヒット音、攻撃音</t>
    <rPh sb="0" eb="1">
      <t>テキ</t>
    </rPh>
    <rPh sb="5" eb="6">
      <t>オン</t>
    </rPh>
    <rPh sb="7" eb="10">
      <t>コウゲキオン</t>
    </rPh>
    <phoneticPr fontId="1"/>
  </si>
  <si>
    <t>ステージ制限の壁</t>
    <phoneticPr fontId="1"/>
  </si>
  <si>
    <t>TitleScene</t>
    <phoneticPr fontId="1"/>
  </si>
  <si>
    <t>GameScene</t>
    <phoneticPr fontId="1"/>
  </si>
  <si>
    <t>PauseScene</t>
    <phoneticPr fontId="1"/>
  </si>
  <si>
    <t>GameClearScene</t>
    <phoneticPr fontId="1"/>
  </si>
  <si>
    <t>GameOverScene</t>
    <phoneticPr fontId="1"/>
  </si>
  <si>
    <t>スキルの時の音</t>
    <rPh sb="4" eb="5">
      <t>トキ</t>
    </rPh>
    <rPh sb="6" eb="7">
      <t>オト</t>
    </rPh>
    <phoneticPr fontId="1"/>
  </si>
  <si>
    <t>血殺の時の音</t>
    <rPh sb="0" eb="2">
      <t>チサツ</t>
    </rPh>
    <rPh sb="3" eb="4">
      <t>トキ</t>
    </rPh>
    <rPh sb="5" eb="6">
      <t>オト</t>
    </rPh>
    <phoneticPr fontId="1"/>
  </si>
  <si>
    <t>カラス状態出現時のエフェクト</t>
    <rPh sb="3" eb="5">
      <t>ジョウタイ</t>
    </rPh>
    <rPh sb="5" eb="8">
      <t>シュツゲンジ</t>
    </rPh>
    <phoneticPr fontId="1"/>
  </si>
  <si>
    <t>最後の演出案</t>
    <rPh sb="0" eb="2">
      <t>サイゴ</t>
    </rPh>
    <rPh sb="3" eb="5">
      <t>エンシュツ</t>
    </rPh>
    <rPh sb="5" eb="6">
      <t>アン</t>
    </rPh>
    <phoneticPr fontId="1"/>
  </si>
  <si>
    <t>倒れたボスに追い打ちで血殺をする</t>
    <rPh sb="0" eb="1">
      <t>タオ</t>
    </rPh>
    <rPh sb="6" eb="7">
      <t>オ</t>
    </rPh>
    <rPh sb="8" eb="9">
      <t>ウ</t>
    </rPh>
    <rPh sb="11" eb="13">
      <t>チサツ</t>
    </rPh>
    <phoneticPr fontId="1"/>
  </si>
  <si>
    <t>ボスの時の敵ロックオンをかえないといけない←完了</t>
    <rPh sb="3" eb="4">
      <t>トキ</t>
    </rPh>
    <rPh sb="5" eb="6">
      <t>テキ</t>
    </rPh>
    <rPh sb="22" eb="24">
      <t>カンリョウ</t>
    </rPh>
    <phoneticPr fontId="1"/>
  </si>
  <si>
    <t>途中</t>
    <rPh sb="0" eb="2">
      <t>トチュウ</t>
    </rPh>
    <phoneticPr fontId="1"/>
  </si>
  <si>
    <t>導入完了</t>
    <rPh sb="0" eb="2">
      <t>ドウニュウ</t>
    </rPh>
    <rPh sb="2" eb="4">
      <t>カンリョウ</t>
    </rPh>
    <phoneticPr fontId="1"/>
  </si>
  <si>
    <t>イベントムービー中はプレイヤーを動かさないようにしないといけない</t>
    <rPh sb="8" eb="9">
      <t>チュウ</t>
    </rPh>
    <rPh sb="16" eb="17">
      <t>ウゴ</t>
    </rPh>
    <phoneticPr fontId="1"/>
  </si>
  <si>
    <t>プレイヤーを動かさないようにする完了</t>
    <rPh sb="6" eb="7">
      <t>ウゴ</t>
    </rPh>
    <rPh sb="16" eb="18">
      <t>カンリョウ</t>
    </rPh>
    <phoneticPr fontId="1"/>
  </si>
  <si>
    <t>次はボスを倒した時のアクションを作る</t>
    <rPh sb="0" eb="1">
      <t>ツギ</t>
    </rPh>
    <rPh sb="5" eb="6">
      <t>タオ</t>
    </rPh>
    <rPh sb="8" eb="9">
      <t>トキ</t>
    </rPh>
    <rPh sb="16" eb="17">
      <t>ツク</t>
    </rPh>
    <phoneticPr fontId="1"/>
  </si>
  <si>
    <t>EventManagerを作って、それが発火したとき</t>
    <rPh sb="13" eb="14">
      <t>ツク</t>
    </rPh>
    <rPh sb="20" eb="22">
      <t>ハッカ</t>
    </rPh>
    <phoneticPr fontId="1"/>
  </si>
  <si>
    <t>プレイヤーとボスの動きをセット</t>
    <rPh sb="9" eb="10">
      <t>ウゴ</t>
    </rPh>
    <phoneticPr fontId="1"/>
  </si>
  <si>
    <t>まず、カメラ関係なくアクションが起こるようにする</t>
    <rPh sb="6" eb="8">
      <t>カンケイ</t>
    </rPh>
    <rPh sb="16" eb="17">
      <t>オ</t>
    </rPh>
    <phoneticPr fontId="1"/>
  </si>
  <si>
    <t>そのあとにカメラをセッティングする</t>
    <phoneticPr fontId="1"/>
  </si>
  <si>
    <t>ラストヒットシーン案</t>
    <rPh sb="9" eb="10">
      <t>アン</t>
    </rPh>
    <phoneticPr fontId="1"/>
  </si>
  <si>
    <t>ボスの背中を見るカメラ</t>
    <rPh sb="3" eb="5">
      <t>セナカ</t>
    </rPh>
    <rPh sb="6" eb="7">
      <t>ミ</t>
    </rPh>
    <phoneticPr fontId="1"/>
  </si>
  <si>
    <t>ボスが倒れる</t>
    <rPh sb="3" eb="4">
      <t>タオ</t>
    </rPh>
    <phoneticPr fontId="1"/>
  </si>
  <si>
    <t>プレイヤーは切りかかる</t>
    <rPh sb="6" eb="7">
      <t>キ</t>
    </rPh>
    <phoneticPr fontId="1"/>
  </si>
  <si>
    <t>そのあと、</t>
    <phoneticPr fontId="1"/>
  </si>
  <si>
    <t>血殺</t>
    <rPh sb="0" eb="2">
      <t>チサツ</t>
    </rPh>
    <phoneticPr fontId="1"/>
  </si>
  <si>
    <t>する</t>
    <phoneticPr fontId="1"/>
  </si>
  <si>
    <t>カメラの動き：</t>
    <rPh sb="4" eb="5">
      <t>ウゴ</t>
    </rPh>
    <phoneticPr fontId="1"/>
  </si>
  <si>
    <t>後ろー＞プレイヤーのほうに回る(手の付近)ー＞敵のほうを見る(playerのうしろ)-&gt;血殺終わり</t>
    <rPh sb="0" eb="1">
      <t>ウシ</t>
    </rPh>
    <rPh sb="13" eb="14">
      <t>マワ</t>
    </rPh>
    <rPh sb="16" eb="17">
      <t>テ</t>
    </rPh>
    <rPh sb="18" eb="20">
      <t>フキン</t>
    </rPh>
    <rPh sb="23" eb="24">
      <t>テキ</t>
    </rPh>
    <rPh sb="28" eb="29">
      <t>ミ</t>
    </rPh>
    <rPh sb="44" eb="46">
      <t>チサツ</t>
    </rPh>
    <rPh sb="46" eb="47">
      <t>オ</t>
    </rPh>
    <phoneticPr fontId="1"/>
  </si>
  <si>
    <t>けっこうやった</t>
    <phoneticPr fontId="1"/>
  </si>
  <si>
    <t>boss登場時のカメラ演出←完了,フェーズ終わりのカメラ演出←未完</t>
    <rPh sb="4" eb="7">
      <t>トウジョウジ</t>
    </rPh>
    <rPh sb="11" eb="13">
      <t>エンシュツ</t>
    </rPh>
    <rPh sb="14" eb="16">
      <t>カンリョウ</t>
    </rPh>
    <rPh sb="21" eb="22">
      <t>オ</t>
    </rPh>
    <rPh sb="28" eb="30">
      <t>エンシュツ</t>
    </rPh>
    <rPh sb="31" eb="33">
      <t>ミカン</t>
    </rPh>
    <phoneticPr fontId="1"/>
  </si>
  <si>
    <t>ボスを動かす←ほぼ完了←攻撃回りが変</t>
    <rPh sb="3" eb="4">
      <t>ウゴ</t>
    </rPh>
    <rPh sb="9" eb="11">
      <t>カンリョウ</t>
    </rPh>
    <rPh sb="12" eb="15">
      <t>コウゲキマワ</t>
    </rPh>
    <rPh sb="17" eb="18">
      <t>ヘン</t>
    </rPh>
    <phoneticPr fontId="1"/>
  </si>
  <si>
    <t>Relaseでも、裏コマンド入力でデバックの描画が見れるようにすると便利</t>
    <rPh sb="9" eb="10">
      <t>ウラ</t>
    </rPh>
    <rPh sb="14" eb="16">
      <t>ニュウリョク</t>
    </rPh>
    <rPh sb="22" eb="24">
      <t>ビョウガ</t>
    </rPh>
    <rPh sb="25" eb="26">
      <t>ミ</t>
    </rPh>
    <rPh sb="34" eb="36">
      <t>ベンリ</t>
    </rPh>
    <phoneticPr fontId="1"/>
  </si>
  <si>
    <t>Bossを倒した後のTimeScaleがなぜかかからない</t>
    <rPh sb="5" eb="6">
      <t>タオ</t>
    </rPh>
    <rPh sb="8" eb="9">
      <t>アト</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</si>
</sst>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0">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
      <b/>
      <sz val="11"/>
      <color rgb="FF242424"/>
      <name val="Cascadia Mono"/>
      <family val="3"/>
    </font>
    <font>
      <sz val="11"/>
      <color rgb="FF242424"/>
      <name val="Cascadia Mono"/>
      <family val="3"/>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9">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xf numFmtId="0" fontId="8" fillId="0" borderId="0" xfId="0" applyFont="1"/>
    <xf numFmtId="0" fontId="9" fillId="0" borderId="0" xfId="0" applyFont="1"/>
    <xf numFmtId="0" fontId="0" fillId="20" borderId="0" xfId="0" applyFill="1"/>
    <xf numFmtId="0" fontId="0" fillId="2"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471</v>
      </c>
      <c r="D5" s="3">
        <f ca="1" xml:space="preserve"> C4 / C5</f>
        <v>5.3078556263269641E-2</v>
      </c>
    </row>
    <row r="6" spans="2:5">
      <c r="B6" s="7" t="s">
        <v>9</v>
      </c>
      <c r="C6" s="1">
        <f>DATE(2024,11,7)</f>
        <v>45603</v>
      </c>
    </row>
    <row r="7" spans="2:5">
      <c r="B7" s="8" t="s">
        <v>11</v>
      </c>
      <c r="C7" s="1">
        <f ca="1">TODAY()</f>
        <v>46261</v>
      </c>
    </row>
    <row r="9" spans="2:5">
      <c r="D9" t="s">
        <v>12</v>
      </c>
      <c r="E9" t="s">
        <v>13</v>
      </c>
    </row>
    <row r="10" spans="2:5">
      <c r="B10" s="4" t="s">
        <v>15</v>
      </c>
      <c r="C10" s="1">
        <f>DATE(2024,12,20)</f>
        <v>45646</v>
      </c>
      <c r="D10" s="2">
        <f ca="1">NETWORKDAYS(TODAY(),C10)</f>
        <v>-440</v>
      </c>
      <c r="E10" s="3">
        <f ca="1">($C$3 - $C$4) / D10</f>
        <v>-0.37954545454545452</v>
      </c>
    </row>
    <row r="11" spans="2:5">
      <c r="B11" s="9" t="s">
        <v>16</v>
      </c>
      <c r="C11" s="1">
        <f>DATE(2025,1,17)</f>
        <v>45674</v>
      </c>
      <c r="D11" s="2">
        <f ca="1">NETWORKDAYS(TODAY(),C11)</f>
        <v>-420</v>
      </c>
      <c r="E11" s="3">
        <f ca="1">($C$3 - $C$4) / D11</f>
        <v>-0.39761904761904759</v>
      </c>
    </row>
    <row r="12" spans="2:5">
      <c r="B12" s="6" t="s">
        <v>17</v>
      </c>
      <c r="C12" s="1">
        <f>DATE(2025,2,3)</f>
        <v>45691</v>
      </c>
      <c r="D12" s="2">
        <f ca="1">NETWORKDAYS(TODAY(),C12)</f>
        <v>-409</v>
      </c>
      <c r="E12" s="3">
        <f ca="1">($C$3 - $C$4) / D12</f>
        <v>-0.40831295843520782</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4</v>
      </c>
      <c r="N3" s="10">
        <f ca="1">K3/M3</f>
        <v>25.25</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-41</v>
      </c>
      <c r="N4" s="10">
        <f ca="1">J4/M4</f>
        <v>-2.2926829268292681</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-17</v>
      </c>
      <c r="N5" s="10">
        <f t="shared" ref="N5:N6" ca="1" si="1">J5/M5</f>
        <v>-4.8235294117647056</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0</v>
      </c>
      <c r="N6" s="10" t="e">
        <f t="shared" ca="1" si="1"/>
        <v>#DIV/0!</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D301"/>
  <sheetViews>
    <sheetView tabSelected="1" topLeftCell="A284" workbookViewId="0">
      <selection activeCell="C302" sqref="C30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row r="223" spans="1:3">
      <c r="C223" t="s">
        <v>541</v>
      </c>
    </row>
    <row r="224" spans="1:3">
      <c r="A224" s="1">
        <v>46257</v>
      </c>
      <c r="C224" t="s">
        <v>542</v>
      </c>
    </row>
    <row r="225" spans="2:4">
      <c r="C225" t="s">
        <v>543</v>
      </c>
    </row>
    <row r="226" spans="2:4">
      <c r="C226" t="s">
        <v>544</v>
      </c>
    </row>
    <row r="228" spans="2:4">
      <c r="C228" t="s">
        <v>545</v>
      </c>
      <c r="D228" t="s">
        <v>555</v>
      </c>
    </row>
    <row r="229" spans="2:4">
      <c r="B229" t="s">
        <v>553</v>
      </c>
      <c r="C229" s="57" t="s">
        <v>703</v>
      </c>
      <c r="D229" t="s">
        <v>683</v>
      </c>
    </row>
    <row r="230" spans="2:4">
      <c r="B230" t="s">
        <v>552</v>
      </c>
      <c r="C230" s="57" t="s">
        <v>546</v>
      </c>
      <c r="D230" t="s">
        <v>683</v>
      </c>
    </row>
    <row r="231" spans="2:4">
      <c r="B231" t="s">
        <v>552</v>
      </c>
      <c r="C231" s="57" t="s">
        <v>702</v>
      </c>
      <c r="D231" t="s">
        <v>683</v>
      </c>
    </row>
    <row r="232" spans="2:4">
      <c r="B232" t="s">
        <v>554</v>
      </c>
      <c r="C232" t="s">
        <v>547</v>
      </c>
    </row>
    <row r="233" spans="2:4">
      <c r="B233" t="s">
        <v>554</v>
      </c>
      <c r="C233" s="57" t="s">
        <v>549</v>
      </c>
      <c r="D233" t="s">
        <v>653</v>
      </c>
    </row>
    <row r="234" spans="2:4">
      <c r="B234" t="s">
        <v>553</v>
      </c>
      <c r="C234" t="s">
        <v>550</v>
      </c>
      <c r="D234" t="s">
        <v>653</v>
      </c>
    </row>
    <row r="235" spans="2:4">
      <c r="B235" t="s">
        <v>553</v>
      </c>
      <c r="C235" t="s">
        <v>551</v>
      </c>
    </row>
    <row r="236" spans="2:4">
      <c r="B236" t="s">
        <v>554</v>
      </c>
      <c r="C236" t="s">
        <v>548</v>
      </c>
      <c r="D236" t="s">
        <v>653</v>
      </c>
    </row>
    <row r="237" spans="2:4">
      <c r="B237" t="s">
        <v>553</v>
      </c>
      <c r="C237" t="s">
        <v>556</v>
      </c>
      <c r="D237" t="s">
        <v>652</v>
      </c>
    </row>
    <row r="238" spans="2:4">
      <c r="B238" t="s">
        <v>612</v>
      </c>
      <c r="C238" s="57" t="s">
        <v>611</v>
      </c>
      <c r="D238" t="s">
        <v>652</v>
      </c>
    </row>
    <row r="239" spans="2:4">
      <c r="B239" t="s">
        <v>612</v>
      </c>
      <c r="C239" s="57" t="s">
        <v>614</v>
      </c>
      <c r="D239" t="s">
        <v>652</v>
      </c>
    </row>
    <row r="240" spans="2:4">
      <c r="C240" s="32" t="s">
        <v>654</v>
      </c>
    </row>
    <row r="241" spans="1:4">
      <c r="B241" t="s">
        <v>613</v>
      </c>
      <c r="C241" t="s">
        <v>610</v>
      </c>
      <c r="D241" t="s">
        <v>701</v>
      </c>
    </row>
    <row r="242" spans="1:4">
      <c r="A242" s="1">
        <v>46258</v>
      </c>
      <c r="C242" t="s">
        <v>530</v>
      </c>
    </row>
    <row r="243" spans="1:4">
      <c r="C243" t="s">
        <v>561</v>
      </c>
    </row>
    <row r="244" spans="1:4">
      <c r="C244" t="s">
        <v>562</v>
      </c>
    </row>
    <row r="246" spans="1:4">
      <c r="C246" t="s">
        <v>569</v>
      </c>
    </row>
    <row r="247" spans="1:4">
      <c r="C247" t="s">
        <v>570</v>
      </c>
    </row>
    <row r="248" spans="1:4">
      <c r="C248" t="s">
        <v>592</v>
      </c>
    </row>
    <row r="249" spans="1:4">
      <c r="C249" t="s">
        <v>593</v>
      </c>
    </row>
    <row r="250" spans="1:4">
      <c r="C250" t="s">
        <v>608</v>
      </c>
    </row>
    <row r="251" spans="1:4">
      <c r="A251" s="1">
        <v>46259</v>
      </c>
      <c r="C251" t="s">
        <v>609</v>
      </c>
    </row>
    <row r="252" spans="1:4">
      <c r="C252" t="s">
        <v>615</v>
      </c>
    </row>
    <row r="253" spans="1:4">
      <c r="C253" t="s">
        <v>616</v>
      </c>
    </row>
    <row r="254" spans="1:4">
      <c r="C254" t="s">
        <v>617</v>
      </c>
    </row>
    <row r="255" spans="1:4">
      <c r="C255" t="s">
        <v>631</v>
      </c>
    </row>
    <row r="256" spans="1:4">
      <c r="C256" t="s">
        <v>632</v>
      </c>
    </row>
    <row r="257" spans="1:3">
      <c r="C257" t="s">
        <v>633</v>
      </c>
    </row>
    <row r="258" spans="1:3">
      <c r="C258" t="s">
        <v>634</v>
      </c>
    </row>
    <row r="259" spans="1:3">
      <c r="C259" t="s">
        <v>635</v>
      </c>
    </row>
    <row r="260" spans="1:3">
      <c r="C260" t="s">
        <v>636</v>
      </c>
    </row>
    <row r="261" spans="1:3">
      <c r="C261" t="s">
        <v>637</v>
      </c>
    </row>
    <row r="263" spans="1:3">
      <c r="C263" t="s">
        <v>638</v>
      </c>
    </row>
    <row r="264" spans="1:3">
      <c r="C264" t="s">
        <v>639</v>
      </c>
    </row>
    <row r="265" spans="1:3">
      <c r="A265" s="1">
        <v>46260</v>
      </c>
      <c r="C265" t="s">
        <v>640</v>
      </c>
    </row>
    <row r="266" spans="1:3">
      <c r="C266" t="s">
        <v>641</v>
      </c>
    </row>
    <row r="267" spans="1:3">
      <c r="C267" t="s">
        <v>642</v>
      </c>
    </row>
    <row r="268" spans="1:3">
      <c r="C268" t="s">
        <v>643</v>
      </c>
    </row>
    <row r="269" spans="1:3">
      <c r="C269" t="s">
        <v>644</v>
      </c>
    </row>
    <row r="270" spans="1:3">
      <c r="C270" t="s">
        <v>645</v>
      </c>
    </row>
    <row r="271" spans="1:3">
      <c r="C271" t="s">
        <v>646</v>
      </c>
    </row>
    <row r="272" spans="1:3">
      <c r="C272" t="s">
        <v>647</v>
      </c>
    </row>
    <row r="273" spans="1:3">
      <c r="C273" t="s">
        <v>648</v>
      </c>
    </row>
    <row r="275" spans="1:3">
      <c r="C275" t="s">
        <v>649</v>
      </c>
    </row>
    <row r="276" spans="1:3">
      <c r="B276" s="58" t="s">
        <v>651</v>
      </c>
      <c r="C276" s="58" t="s">
        <v>650</v>
      </c>
    </row>
    <row r="277" spans="1:3">
      <c r="A277" s="1">
        <v>46261</v>
      </c>
      <c r="C277" t="s">
        <v>684</v>
      </c>
    </row>
    <row r="279" spans="1:3">
      <c r="C279" t="s">
        <v>682</v>
      </c>
    </row>
    <row r="280" spans="1:3">
      <c r="C280" t="s">
        <v>680</v>
      </c>
    </row>
    <row r="281" spans="1:3">
      <c r="C281" t="s">
        <v>681</v>
      </c>
    </row>
    <row r="282" spans="1:3">
      <c r="C282" t="s">
        <v>685</v>
      </c>
    </row>
    <row r="283" spans="1:3">
      <c r="C283" t="s">
        <v>686</v>
      </c>
    </row>
    <row r="284" spans="1:3">
      <c r="C284" t="s">
        <v>687</v>
      </c>
    </row>
    <row r="285" spans="1:3">
      <c r="C285" t="s">
        <v>688</v>
      </c>
    </row>
    <row r="286" spans="1:3">
      <c r="C286" t="s">
        <v>689</v>
      </c>
    </row>
    <row r="287" spans="1:3">
      <c r="C287" t="s">
        <v>690</v>
      </c>
    </row>
    <row r="288" spans="1:3">
      <c r="C288" t="s">
        <v>691</v>
      </c>
    </row>
    <row r="290" spans="3:3">
      <c r="C290" t="s">
        <v>692</v>
      </c>
    </row>
    <row r="291" spans="3:3">
      <c r="C291" t="s">
        <v>693</v>
      </c>
    </row>
    <row r="292" spans="3:3">
      <c r="C292" t="s">
        <v>694</v>
      </c>
    </row>
    <row r="293" spans="3:3">
      <c r="C293" t="s">
        <v>695</v>
      </c>
    </row>
    <row r="294" spans="3:3">
      <c r="C294" t="s">
        <v>696</v>
      </c>
    </row>
    <row r="295" spans="3:3">
      <c r="C295" t="s">
        <v>697</v>
      </c>
    </row>
    <row r="296" spans="3:3">
      <c r="C296" t="s">
        <v>698</v>
      </c>
    </row>
    <row r="297" spans="3:3">
      <c r="C297" t="s">
        <v>699</v>
      </c>
    </row>
    <row r="298" spans="3:3">
      <c r="C298" t="s">
        <v>700</v>
      </c>
    </row>
    <row r="300" spans="3:3">
      <c r="C300" t="s">
        <v>704</v>
      </c>
    </row>
    <row r="301" spans="3:3">
      <c r="C301" t="s">
        <v>705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458A-D800-40F2-A389-E66EF82142B9}">
  <dimension ref="A1:R6"/>
  <sheetViews>
    <sheetView workbookViewId="0">
      <selection activeCell="A5" sqref="A5"/>
    </sheetView>
  </sheetViews>
  <sheetFormatPr defaultRowHeight="18.75"/>
  <sheetData>
    <row r="1" spans="1:18">
      <c r="A1" t="s">
        <v>42</v>
      </c>
      <c r="F1" t="s">
        <v>657</v>
      </c>
      <c r="L1" t="s">
        <v>659</v>
      </c>
      <c r="O1" t="s">
        <v>660</v>
      </c>
      <c r="R1" t="s">
        <v>663</v>
      </c>
    </row>
    <row r="2" spans="1:18">
      <c r="A2" t="s">
        <v>655</v>
      </c>
      <c r="F2" t="s">
        <v>661</v>
      </c>
      <c r="L2" t="s">
        <v>672</v>
      </c>
      <c r="O2" t="s">
        <v>668</v>
      </c>
      <c r="R2" t="s">
        <v>665</v>
      </c>
    </row>
    <row r="3" spans="1:18">
      <c r="A3" t="s">
        <v>656</v>
      </c>
      <c r="F3" t="s">
        <v>658</v>
      </c>
      <c r="L3" t="s">
        <v>673</v>
      </c>
      <c r="O3" t="s">
        <v>669</v>
      </c>
      <c r="R3" t="s">
        <v>666</v>
      </c>
    </row>
    <row r="4" spans="1:18">
      <c r="A4" t="s">
        <v>664</v>
      </c>
      <c r="F4" t="s">
        <v>662</v>
      </c>
      <c r="L4" t="s">
        <v>674</v>
      </c>
      <c r="O4" t="s">
        <v>670</v>
      </c>
      <c r="R4" t="s">
        <v>667</v>
      </c>
    </row>
    <row r="5" spans="1:18">
      <c r="F5" t="s">
        <v>671</v>
      </c>
      <c r="L5" t="s">
        <v>675</v>
      </c>
      <c r="O5" t="s">
        <v>677</v>
      </c>
    </row>
    <row r="6" spans="1:18">
      <c r="F6" t="s">
        <v>679</v>
      </c>
      <c r="L6" t="s">
        <v>676</v>
      </c>
      <c r="O6" t="s">
        <v>678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18887-0FDF-44BB-AA49-E18A6D1E6450}">
  <dimension ref="A2:B48"/>
  <sheetViews>
    <sheetView topLeftCell="A37" workbookViewId="0">
      <selection activeCell="F48" sqref="F48"/>
    </sheetView>
  </sheetViews>
  <sheetFormatPr defaultRowHeight="18.75"/>
  <sheetData>
    <row r="2" spans="1:2">
      <c r="A2" t="s">
        <v>566</v>
      </c>
      <c r="B2" t="s">
        <v>563</v>
      </c>
    </row>
    <row r="3" spans="1:2">
      <c r="B3" t="s">
        <v>564</v>
      </c>
    </row>
    <row r="4" spans="1:2">
      <c r="B4" t="s">
        <v>565</v>
      </c>
    </row>
    <row r="5" spans="1:2">
      <c r="A5" t="s">
        <v>566</v>
      </c>
      <c r="B5" t="s">
        <v>567</v>
      </c>
    </row>
    <row r="6" spans="1:2">
      <c r="B6" t="s">
        <v>568</v>
      </c>
    </row>
    <row r="9" spans="1:2">
      <c r="A9" t="s">
        <v>595</v>
      </c>
      <c r="B9" t="s">
        <v>594</v>
      </c>
    </row>
    <row r="11" spans="1:2">
      <c r="B11" t="s">
        <v>596</v>
      </c>
    </row>
    <row r="13" spans="1:2">
      <c r="B13" t="s">
        <v>597</v>
      </c>
    </row>
    <row r="14" spans="1:2">
      <c r="B14" t="s">
        <v>598</v>
      </c>
    </row>
    <row r="15" spans="1:2">
      <c r="B15" t="s">
        <v>599</v>
      </c>
    </row>
    <row r="16" spans="1:2">
      <c r="B16" t="s">
        <v>600</v>
      </c>
    </row>
    <row r="18" spans="2:2">
      <c r="B18" t="s">
        <v>601</v>
      </c>
    </row>
    <row r="19" spans="2:2">
      <c r="B19" t="s">
        <v>602</v>
      </c>
    </row>
    <row r="20" spans="2:2">
      <c r="B20" t="s">
        <v>603</v>
      </c>
    </row>
    <row r="21" spans="2:2">
      <c r="B21" t="s">
        <v>604</v>
      </c>
    </row>
    <row r="22" spans="2:2">
      <c r="B22" t="s">
        <v>605</v>
      </c>
    </row>
    <row r="24" spans="2:2">
      <c r="B24" t="s">
        <v>606</v>
      </c>
    </row>
    <row r="25" spans="2:2">
      <c r="B25" t="s">
        <v>607</v>
      </c>
    </row>
    <row r="27" spans="2:2">
      <c r="B27" t="s">
        <v>618</v>
      </c>
    </row>
    <row r="28" spans="2:2">
      <c r="B28" t="s">
        <v>619</v>
      </c>
    </row>
    <row r="29" spans="2:2">
      <c r="B29" t="s">
        <v>620</v>
      </c>
    </row>
    <row r="31" spans="2:2">
      <c r="B31" t="s">
        <v>621</v>
      </c>
    </row>
    <row r="32" spans="2:2">
      <c r="B32" t="s">
        <v>625</v>
      </c>
    </row>
    <row r="33" spans="2:2">
      <c r="B33" t="s">
        <v>626</v>
      </c>
    </row>
    <row r="35" spans="2:2">
      <c r="B35" t="s">
        <v>622</v>
      </c>
    </row>
    <row r="36" spans="2:2">
      <c r="B36" t="s">
        <v>623</v>
      </c>
    </row>
    <row r="38" spans="2:2">
      <c r="B38" t="s">
        <v>624</v>
      </c>
    </row>
    <row r="39" spans="2:2">
      <c r="B39" t="s">
        <v>627</v>
      </c>
    </row>
    <row r="41" spans="2:2">
      <c r="B41" t="s">
        <v>628</v>
      </c>
    </row>
    <row r="43" spans="2:2">
      <c r="B43" t="s">
        <v>629</v>
      </c>
    </row>
    <row r="45" spans="2:2">
      <c r="B45" t="s">
        <v>630</v>
      </c>
    </row>
    <row r="47" spans="2:2">
      <c r="B47" t="s">
        <v>638</v>
      </c>
    </row>
    <row r="48" spans="2:2">
      <c r="B48" t="s">
        <v>639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A907-596B-4B61-8CB6-45BC6EA11F46}">
  <dimension ref="B2:B22"/>
  <sheetViews>
    <sheetView workbookViewId="0">
      <selection activeCell="J7" sqref="J7"/>
    </sheetView>
  </sheetViews>
  <sheetFormatPr defaultRowHeight="18.75"/>
  <sheetData>
    <row r="2" spans="2:2">
      <c r="B2" s="55" t="s">
        <v>571</v>
      </c>
    </row>
    <row r="3" spans="2:2">
      <c r="B3" s="56" t="s">
        <v>572</v>
      </c>
    </row>
    <row r="4" spans="2:2">
      <c r="B4" s="56" t="s">
        <v>573</v>
      </c>
    </row>
    <row r="5" spans="2:2">
      <c r="B5" s="56" t="s">
        <v>574</v>
      </c>
    </row>
    <row r="6" spans="2:2">
      <c r="B6" s="56" t="s">
        <v>575</v>
      </c>
    </row>
    <row r="7" spans="2:2">
      <c r="B7" s="56" t="s">
        <v>576</v>
      </c>
    </row>
    <row r="8" spans="2:2">
      <c r="B8" s="56" t="s">
        <v>577</v>
      </c>
    </row>
    <row r="9" spans="2:2">
      <c r="B9" s="56" t="s">
        <v>578</v>
      </c>
    </row>
    <row r="10" spans="2:2">
      <c r="B10" s="56" t="s">
        <v>579</v>
      </c>
    </row>
    <row r="11" spans="2:2">
      <c r="B11" s="56" t="s">
        <v>580</v>
      </c>
    </row>
    <row r="12" spans="2:2">
      <c r="B12" s="56" t="s">
        <v>581</v>
      </c>
    </row>
    <row r="13" spans="2:2">
      <c r="B13" s="56" t="s">
        <v>582</v>
      </c>
    </row>
    <row r="14" spans="2:2">
      <c r="B14" s="56" t="s">
        <v>583</v>
      </c>
    </row>
    <row r="15" spans="2:2">
      <c r="B15" s="56" t="s">
        <v>584</v>
      </c>
    </row>
    <row r="16" spans="2:2">
      <c r="B16" s="56" t="s">
        <v>585</v>
      </c>
    </row>
    <row r="17" spans="2:2">
      <c r="B17" s="56" t="s">
        <v>586</v>
      </c>
    </row>
    <row r="18" spans="2:2">
      <c r="B18" s="56" t="s">
        <v>587</v>
      </c>
    </row>
    <row r="19" spans="2:2">
      <c r="B19" s="56" t="s">
        <v>588</v>
      </c>
    </row>
    <row r="20" spans="2:2">
      <c r="B20" s="56" t="s">
        <v>589</v>
      </c>
    </row>
    <row r="21" spans="2:2">
      <c r="B21" s="56" t="s">
        <v>590</v>
      </c>
    </row>
    <row r="22" spans="2:2">
      <c r="B22" s="56" t="s">
        <v>591</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B6BCA-2C55-4226-858C-6FF0248D7A91}">
  <dimension ref="B2:B5"/>
  <sheetViews>
    <sheetView workbookViewId="0">
      <selection activeCell="B6" sqref="B6"/>
    </sheetView>
  </sheetViews>
  <sheetFormatPr defaultRowHeight="18.75"/>
  <sheetData>
    <row r="2" spans="2:2">
      <c r="B2" t="s">
        <v>557</v>
      </c>
    </row>
    <row r="3" spans="2:2">
      <c r="B3" t="s">
        <v>558</v>
      </c>
    </row>
    <row r="4" spans="2:2">
      <c r="B4" t="s">
        <v>559</v>
      </c>
    </row>
    <row r="5" spans="2:2">
      <c r="B5" t="s">
        <v>560</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概要</vt:lpstr>
      <vt:lpstr>作業工数見積もり</vt:lpstr>
      <vt:lpstr>カレンダー</vt:lpstr>
      <vt:lpstr>日記</vt:lpstr>
      <vt:lpstr>必要なUI,Effect</vt:lpstr>
      <vt:lpstr>インターン中気になったこと</vt:lpstr>
      <vt:lpstr>フィードバック</vt:lpstr>
      <vt:lpstr>Sheet1</vt:lpstr>
      <vt:lpstr>メモ</vt:lpstr>
      <vt:lpstr>雑用</vt:lpstr>
      <vt:lpstr>仕様書①</vt:lpstr>
      <vt:lpstr>仕様書②</vt:lpstr>
      <vt:lpstr>クラス設計</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2026-08-27T14:48:21Z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