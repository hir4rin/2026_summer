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tsyts\GitHub\2026_summer\進捗\"/>
    </mc:Choice>
  </mc:AlternateContent>
  <xr:revisionPtr revIDLastSave="0" documentId="13_ncr:1_{AC49878B-E2DD-4D2C-B24A-508738438593}" xr6:coauthVersionLast="47" xr6:coauthVersionMax="47" xr10:uidLastSave="{00000000-0000-0000-0000-000000000000}"/>
  <bookViews>
    <workbookView xWindow="-120" yWindow="-120" windowWidth="38640" windowHeight="21120" activeTab="3" xr2:uid="{00000000-000D-0000-FFFF-FFFF00000000}"/>
  </bookViews>
  <sheets>
    <sheet name="概要" sheetId="5" r:id="rId1"/>
    <sheet name="作業工数見積もり" sheetId="1" r:id="rId2"/>
    <sheet name="カレンダー" sheetId="6" r:id="rId3"/>
    <sheet name="日記" sheetId="12" r:id="rId4"/>
    <sheet name="Sheet1" sheetId="16" r:id="rId5"/>
    <sheet name="メモ" sheetId="9" r:id="rId6"/>
    <sheet name="雑用" sheetId="10" r:id="rId7"/>
    <sheet name="仕様書①" sheetId="13" r:id="rId8"/>
    <sheet name="仕様書②" sheetId="15" r:id="rId9"/>
    <sheet name="クラス設計" sheetId="14" r:id="rId10"/>
  </sheets>
  <definedNames>
    <definedName name="_xlnm._FilterDatabase" localSheetId="1" hidden="1">作業工数見積もり!$B$2:$G$55</definedName>
  </definedNames>
  <calcPr calcId="191028"/>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M3" i="1"/>
  <c r="M6" i="1"/>
  <c r="M5" i="1"/>
  <c r="M4" i="1"/>
  <c r="K6" i="1"/>
  <c r="K5" i="1"/>
  <c r="K4" i="1"/>
  <c r="J6" i="1"/>
  <c r="J5" i="1"/>
  <c r="J4" i="1"/>
  <c r="L5" i="1"/>
  <c r="L6" i="1"/>
  <c r="L4" i="1"/>
  <c r="L3" i="1"/>
  <c r="C3" i="5"/>
  <c r="C4" i="5"/>
  <c r="C6" i="5"/>
  <c r="C7" i="5"/>
  <c r="C5" i="5" s="1"/>
  <c r="C10" i="5"/>
  <c r="D10" i="5"/>
  <c r="C11" i="5"/>
  <c r="D11" i="5"/>
  <c r="C12" i="5"/>
  <c r="D12" i="5"/>
  <c r="N3" i="1" l="1"/>
  <c r="N6" i="1"/>
  <c r="N5" i="1"/>
  <c r="N4" i="1"/>
  <c r="J3" i="1"/>
  <c r="E12" i="5"/>
  <c r="D5" i="5"/>
  <c r="E10" i="5"/>
  <c r="E11" i="5"/>
</calcChain>
</file>

<file path=xl/sharedStrings.xml><?xml version="1.0" encoding="utf-8"?>
<sst xmlns="http://schemas.openxmlformats.org/spreadsheetml/2006/main" count="654" uniqueCount="415">
  <si>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</si>
  <si>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</si>
  <si>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</si>
  <si>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</si>
  <si>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</si>
  <si>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</si>
  <si>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</si>
  <si>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</si>
  <si>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</si>
  <si>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</si>
  <si>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</si>
  <si>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</si>
  <si>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</si>
  <si>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</si>
  <si>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</si>
  <si>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</si>
  <si>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</si>
  <si>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</si>
  <si>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</si>
  <si>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</si>
  <si>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</si>
  <si>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</si>
  <si>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</si>
  <si>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</si>
  <si>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</si>
  <si>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</si>
  <si>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</si>
  <si>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</si>
  <si>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</si>
  <si>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</si>
  <si>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</si>
  <si>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</si>
  <si>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</si>
  <si>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</si>
  <si>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</si>
  <si>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</si>
  <si>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</si>
  <si>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</si>
  <si>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</si>
  <si>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</si>
  <si>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</si>
  <si>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</si>
  <si>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</si>
  <si>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1コスト1時間</t>
    <rPh sb="5" eb="7">
      <t>ジカン</t>
    </rPh>
    <phoneticPr fontId="1"/>
  </si>
  <si>
    <t>プレイヤー</t>
    <phoneticPr fontId="1"/>
  </si>
  <si>
    <t>4/13まで</t>
    <phoneticPr fontId="1"/>
  </si>
  <si>
    <t>敵</t>
    <rPh sb="0" eb="1">
      <t>テキ</t>
    </rPh>
    <phoneticPr fontId="1"/>
  </si>
  <si>
    <t>モデル探し</t>
    <rPh sb="3" eb="4">
      <t>サガ</t>
    </rPh>
    <phoneticPr fontId="1"/>
  </si>
  <si>
    <t>BGM探し</t>
    <rPh sb="3" eb="4">
      <t>サガ</t>
    </rPh>
    <phoneticPr fontId="1"/>
  </si>
  <si>
    <t>SE探し</t>
    <rPh sb="2" eb="3">
      <t>サガ</t>
    </rPh>
    <phoneticPr fontId="1"/>
  </si>
  <si>
    <t>日</t>
    <rPh sb="0" eb="1">
      <t>ニチ</t>
    </rPh>
    <phoneticPr fontId="1"/>
  </si>
  <si>
    <t>月</t>
  </si>
  <si>
    <t>火</t>
  </si>
  <si>
    <t>水</t>
  </si>
  <si>
    <t>木</t>
  </si>
  <si>
    <t>金</t>
  </si>
  <si>
    <t>土</t>
  </si>
  <si>
    <t>完了</t>
  </si>
  <si>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</si>
  <si>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</si>
  <si>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</si>
  <si>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</si>
  <si>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</si>
  <si>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</si>
  <si>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</si>
  <si>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</si>
  <si>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</si>
  <si>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</si>
  <si>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</si>
  <si>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コンボ攻撃</t>
    <rPh sb="3" eb="5">
      <t>コウゲキ</t>
    </rPh>
    <phoneticPr fontId="1"/>
  </si>
  <si>
    <t>カメラの当たり判定</t>
    <rPh sb="4" eb="5">
      <t>ア</t>
    </rPh>
    <rPh sb="7" eb="9">
      <t>ハンテイ</t>
    </rPh>
    <phoneticPr fontId="1"/>
  </si>
  <si>
    <t>攻撃</t>
    <rPh sb="0" eb="2">
      <t>コウゲキ</t>
    </rPh>
    <phoneticPr fontId="1"/>
  </si>
  <si>
    <t>ジャスト回避</t>
    <rPh sb="4" eb="6">
      <t>カイヒ</t>
    </rPh>
    <phoneticPr fontId="1"/>
  </si>
  <si>
    <t>ダッシュ攻撃</t>
    <rPh sb="4" eb="6">
      <t>コウゲキ</t>
    </rPh>
    <phoneticPr fontId="1"/>
  </si>
  <si>
    <t>警戒</t>
    <rPh sb="0" eb="2">
      <t>ケイカイ</t>
    </rPh>
    <phoneticPr fontId="1"/>
  </si>
  <si>
    <t>ステージの当たり判定</t>
    <rPh sb="5" eb="6">
      <t>ア</t>
    </rPh>
    <rPh sb="8" eb="10">
      <t>ハンテイ</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</si>
  <si>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</si>
  <si>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</si>
  <si>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</si>
  <si>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</si>
  <si>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</si>
  <si>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</si>
  <si>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</si>
  <si>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</si>
  <si>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</si>
  <si>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</si>
  <si>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</si>
  <si>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</si>
  <si>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</si>
  <si>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</si>
  <si>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</si>
  <si>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</si>
  <si>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</si>
  <si>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</si>
  <si>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</si>
  <si>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</si>
  <si>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</si>
  <si>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</si>
  <si>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</si>
  <si>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</si>
  <si>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</si>
  <si>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</si>
  <si>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</si>
  <si>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</si>
  <si>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</si>
  <si>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</si>
  <si>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</si>
  <si>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</si>
  <si>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</si>
  <si>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</si>
  <si>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</si>
  <si>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</si>
  <si>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</si>
  <si>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</si>
  <si>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</si>
  <si>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</si>
  <si>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</si>
  <si>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</si>
  <si>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</si>
  <si>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</si>
  <si>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</si>
  <si>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</si>
  <si>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</si>
  <si>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</si>
  <si>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</si>
  <si>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</si>
  <si>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</si>
  <si>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</si>
  <si>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</si>
  <si>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</si>
  <si>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</si>
  <si>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</si>
  <si>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</si>
  <si>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</si>
  <si>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</si>
  <si>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</si>
  <si>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</si>
  <si>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</si>
  <si>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</si>
  <si>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</si>
  <si>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</si>
  <si>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</si>
  <si>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</si>
  <si>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</si>
  <si>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</si>
  <si>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</si>
  <si>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</si>
  <si>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</si>
  <si>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</si>
  <si>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</si>
  <si>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</si>
  <si>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</si>
  <si>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</si>
  <si>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</si>
  <si>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</si>
  <si>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</si>
  <si>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</si>
  <si>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</si>
  <si>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</si>
  <si>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</si>
  <si>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</si>
  <si>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</si>
  <si>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</si>
  <si>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</si>
  <si>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</si>
  <si>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</si>
  <si>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</si>
  <si>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</si>
  <si>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</si>
  <si>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</si>
  <si>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</si>
  <si>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</si>
  <si>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</si>
  <si>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</si>
  <si>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</si>
  <si>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</si>
  <si>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</si>
  <si>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</si>
  <si>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</si>
  <si>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</si>
  <si>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</si>
  <si>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</si>
  <si>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</si>
  <si>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</si>
  <si>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</si>
  <si>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</si>
  <si>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</si>
  <si>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</si>
  <si>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</si>
  <si>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</si>
  <si>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</si>
  <si>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</si>
  <si>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</si>
  <si>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</si>
  <si>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</si>
  <si>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</si>
  <si>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</si>
  <si>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</si>
  <si>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</si>
  <si>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</si>
  <si>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</si>
  <si>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</si>
  <si>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</si>
  <si>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</si>
  <si>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</si>
  <si>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</si>
  <si>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</si>
  <si>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</si>
  <si>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</si>
  <si>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</si>
  <si>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</si>
  <si>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</si>
  <si>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</si>
  <si>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</si>
  <si>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</si>
  <si>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</si>
  <si>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</si>
  <si>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</si>
  <si>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</si>
  <si>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</si>
  <si>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</si>
  <si>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</si>
  <si>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</si>
  <si>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</si>
  <si>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</si>
  <si>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</si>
  <si>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</si>
  <si>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</si>
  <si>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</si>
  <si>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</si>
  <si>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</si>
  <si>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</si>
  <si>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</si>
  <si>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</si>
  <si>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</si>
  <si>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</si>
  <si>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</si>
  <si>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</si>
  <si>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</si>
  <si>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</si>
  <si>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</si>
  <si>
    <t>FixedNextPosのFixNextposSPの途中、続きから</t>
    <rPh sb="26" eb="28">
      <t>トチュウ</t>
    </rPh>
    <rPh sb="29" eb="30">
      <t>ツヅ</t>
    </rPh>
    <phoneticPr fontId="1"/>
  </si>
  <si>
    <t>当たり判定をどこまでやるのか問題はある、それによって、次何をやるか決める</t>
    <rPh sb="0" eb="1">
      <t>ア</t>
    </rPh>
    <rPh sb="3" eb="5">
      <t>ハンテイ</t>
    </rPh>
    <rPh sb="14" eb="16">
      <t>モンダイ</t>
    </rPh>
    <rPh sb="27" eb="29">
      <t>ツギナニ</t>
    </rPh>
    <rPh sb="33" eb="34">
      <t>キ</t>
    </rPh>
    <phoneticPr fontId="1"/>
  </si>
  <si>
    <t>残る課題は当たり判定、スキル、必殺技、ジャスト回避</t>
    <rPh sb="0" eb="1">
      <t>ノコ</t>
    </rPh>
    <rPh sb="2" eb="4">
      <t>カダイ</t>
    </rPh>
    <rPh sb="5" eb="6">
      <t>ア</t>
    </rPh>
    <rPh sb="8" eb="10">
      <t>ハンテイ</t>
    </rPh>
    <rPh sb="15" eb="18">
      <t>ヒッサツワザ</t>
    </rPh>
    <rPh sb="23" eb="25">
      <t>カイヒ</t>
    </rPh>
    <phoneticPr fontId="1"/>
  </si>
  <si>
    <t>敵の当たり判定も変えたいかな</t>
    <rPh sb="0" eb="1">
      <t>テキ</t>
    </rPh>
    <rPh sb="2" eb="3">
      <t>ア</t>
    </rPh>
    <rPh sb="5" eb="7">
      <t>ハンテイ</t>
    </rPh>
    <rPh sb="8" eb="9">
      <t>カ</t>
    </rPh>
    <phoneticPr fontId="1"/>
  </si>
  <si>
    <t>敵の当たり判定変えた後、スキル、必殺技を作る</t>
    <rPh sb="0" eb="1">
      <t>テキ</t>
    </rPh>
    <rPh sb="2" eb="3">
      <t>ア</t>
    </rPh>
    <rPh sb="5" eb="7">
      <t>ハンテイ</t>
    </rPh>
    <rPh sb="7" eb="8">
      <t>カ</t>
    </rPh>
    <rPh sb="10" eb="11">
      <t>アト</t>
    </rPh>
    <rPh sb="16" eb="19">
      <t>ヒッサツワザ</t>
    </rPh>
    <rPh sb="20" eb="21">
      <t>ツク</t>
    </rPh>
    <phoneticPr fontId="1"/>
  </si>
  <si>
    <t>LB押している間player.cppでモデルの追加とかをするLB&amp;技ボタンでスキル</t>
    <rPh sb="2" eb="3">
      <t>オ</t>
    </rPh>
    <rPh sb="7" eb="8">
      <t>アイダ</t>
    </rPh>
    <rPh sb="23" eb="25">
      <t>ツイカ</t>
    </rPh>
    <rPh sb="33" eb="34">
      <t>ワザ</t>
    </rPh>
    <phoneticPr fontId="1"/>
  </si>
  <si>
    <t>raven状態はplayer.cppで書くがplayerStateAttackの時は解除をさせないようにする</t>
    <rPh sb="5" eb="7">
      <t>ジョウタイ</t>
    </rPh>
    <rPh sb="19" eb="20">
      <t>カ</t>
    </rPh>
    <rPh sb="40" eb="41">
      <t>トキ</t>
    </rPh>
    <rPh sb="42" eb="44">
      <t>カイジョ</t>
    </rPh>
    <phoneticPr fontId="1"/>
  </si>
  <si>
    <t>PlayerStateAttackの中でスキルの詳細を書く←管理が面倒だからやっぱり分ける</t>
    <rPh sb="18" eb="19">
      <t>ナカ</t>
    </rPh>
    <rPh sb="24" eb="26">
      <t>ショウサイ</t>
    </rPh>
    <rPh sb="27" eb="28">
      <t>カ</t>
    </rPh>
    <rPh sb="30" eb="32">
      <t>カンリ</t>
    </rPh>
    <rPh sb="33" eb="35">
      <t>メンドウ</t>
    </rPh>
    <rPh sb="42" eb="43">
      <t>ワ</t>
    </rPh>
    <phoneticPr fontId="1"/>
  </si>
  <si>
    <t>↑結局、PlayerStateAttackの中で書いた、また、raven状態はidle,move,run,(Attackの遷移時)にかえる</t>
    <rPh sb="1" eb="3">
      <t>ケッキョク</t>
    </rPh>
    <rPh sb="22" eb="23">
      <t>ナカ</t>
    </rPh>
    <rPh sb="24" eb="25">
      <t>カ</t>
    </rPh>
    <rPh sb="36" eb="38">
      <t>ジョウタイ</t>
    </rPh>
    <rPh sb="61" eb="63">
      <t>センイ</t>
    </rPh>
    <rPh sb="63" eb="64">
      <t>ジ</t>
    </rPh>
    <phoneticPr fontId="1"/>
  </si>
  <si>
    <t>スキルのエフェクト制作</t>
    <rPh sb="9" eb="11">
      <t>セイサク</t>
    </rPh>
    <phoneticPr fontId="1"/>
  </si>
  <si>
    <t>必殺技システム実装</t>
    <rPh sb="0" eb="3">
      <t>ヒッサツワザ</t>
    </rPh>
    <rPh sb="7" eb="9">
      <t>ジッソウ</t>
    </rPh>
    <phoneticPr fontId="1"/>
  </si>
  <si>
    <t>必殺技シェーダー演出実装</t>
    <rPh sb="0" eb="3">
      <t>ヒッサツワザ</t>
    </rPh>
    <rPh sb="8" eb="10">
      <t>エンシュツ</t>
    </rPh>
    <rPh sb="10" eb="12">
      <t>ジッソウ</t>
    </rPh>
    <phoneticPr fontId="1"/>
  </si>
  <si>
    <t>ジャスト回避</t>
    <rPh sb="4" eb="6">
      <t>カイヒ</t>
    </rPh>
    <phoneticPr fontId="1"/>
  </si>
  <si>
    <t>攻撃時の細かい当たり判定の制御</t>
    <rPh sb="0" eb="2">
      <t>コウゲキ</t>
    </rPh>
    <rPh sb="2" eb="3">
      <t>ジ</t>
    </rPh>
    <rPh sb="4" eb="5">
      <t>コマ</t>
    </rPh>
    <rPh sb="7" eb="8">
      <t>ア</t>
    </rPh>
    <rPh sb="10" eb="12">
      <t>ハンテイ</t>
    </rPh>
    <rPh sb="13" eb="15">
      <t>セイギョ</t>
    </rPh>
    <phoneticPr fontId="1"/>
  </si>
  <si>
    <t>空中での攻撃使用制限</t>
    <rPh sb="0" eb="2">
      <t>クウチュウ</t>
    </rPh>
    <rPh sb="4" eb="6">
      <t>コウゲキ</t>
    </rPh>
    <rPh sb="6" eb="8">
      <t>シヨウ</t>
    </rPh>
    <rPh sb="8" eb="10">
      <t>セイゲン</t>
    </rPh>
    <phoneticPr fontId="1"/>
  </si>
  <si>
    <t>ため攻撃実装するか</t>
    <rPh sb="2" eb="4">
      <t>コウゲキ</t>
    </rPh>
    <rPh sb="4" eb="6">
      <t>ジッソウ</t>
    </rPh>
    <phoneticPr fontId="1"/>
  </si>
  <si>
    <t>A</t>
  </si>
  <si>
    <t>剣を持たせる2種(モデル探しも含む)</t>
    <rPh sb="0" eb="1">
      <t>ケン</t>
    </rPh>
    <rPh sb="2" eb="3">
      <t>モ</t>
    </rPh>
    <rPh sb="7" eb="8">
      <t>シュ</t>
    </rPh>
    <rPh sb="12" eb="13">
      <t>サガ</t>
    </rPh>
    <rPh sb="15" eb="16">
      <t>フク</t>
    </rPh>
    <phoneticPr fontId="1"/>
  </si>
  <si>
    <t>鴉状態での追加モデル(モデル探しも含む)</t>
    <rPh sb="0" eb="1">
      <t>カラス</t>
    </rPh>
    <rPh sb="1" eb="3">
      <t>ジョウタイ</t>
    </rPh>
    <rPh sb="5" eb="7">
      <t>ツイカ</t>
    </rPh>
    <phoneticPr fontId="1"/>
  </si>
  <si>
    <t>アニメーション調整</t>
    <rPh sb="7" eb="9">
      <t>チョウセイ</t>
    </rPh>
    <phoneticPr fontId="1"/>
  </si>
  <si>
    <t>モデル、アニメーション</t>
    <phoneticPr fontId="1"/>
  </si>
  <si>
    <t>より詳しい攻撃</t>
    <rPh sb="2" eb="3">
      <t>クワ</t>
    </rPh>
    <rPh sb="5" eb="7">
      <t>コウゲキ</t>
    </rPh>
    <phoneticPr fontId="1"/>
  </si>
  <si>
    <t>2体目作る</t>
    <rPh sb="1" eb="4">
      <t>タイメツク</t>
    </rPh>
    <phoneticPr fontId="1"/>
  </si>
  <si>
    <t>キャラクター</t>
    <phoneticPr fontId="1"/>
  </si>
  <si>
    <t>ヒット時のノックバック</t>
    <rPh sb="3" eb="4">
      <t>ジ</t>
    </rPh>
    <phoneticPr fontId="1"/>
  </si>
  <si>
    <t>死亡判定</t>
    <rPh sb="0" eb="2">
      <t>シボウ</t>
    </rPh>
    <rPh sb="2" eb="4">
      <t>ハンテイ</t>
    </rPh>
    <phoneticPr fontId="1"/>
  </si>
  <si>
    <t>ダメージ処理</t>
    <rPh sb="4" eb="6">
      <t>ショリ</t>
    </rPh>
    <phoneticPr fontId="1"/>
  </si>
  <si>
    <t>タイムスケール</t>
    <phoneticPr fontId="1"/>
  </si>
  <si>
    <t>ヒットストップ</t>
    <phoneticPr fontId="1"/>
  </si>
  <si>
    <t>攻撃時に斜めに傾く奴</t>
    <rPh sb="0" eb="2">
      <t>コウゲキ</t>
    </rPh>
    <rPh sb="2" eb="3">
      <t>ジ</t>
    </rPh>
    <rPh sb="4" eb="5">
      <t>ナナ</t>
    </rPh>
    <rPh sb="7" eb="8">
      <t>カタム</t>
    </rPh>
    <rPh sb="9" eb="10">
      <t>ヤツ</t>
    </rPh>
    <phoneticPr fontId="1"/>
  </si>
  <si>
    <t>攻撃時に少しズームアップするやつ</t>
    <rPh sb="0" eb="3">
      <t>コウゲキジ</t>
    </rPh>
    <rPh sb="4" eb="5">
      <t>スコ</t>
    </rPh>
    <phoneticPr fontId="1"/>
  </si>
  <si>
    <t>なにか演出カメラ</t>
    <rPh sb="3" eb="5">
      <t>エンシュツ</t>
    </rPh>
    <phoneticPr fontId="1"/>
  </si>
  <si>
    <t>ロックオン</t>
    <phoneticPr fontId="1"/>
  </si>
  <si>
    <t>攻撃権のシステム</t>
    <rPh sb="0" eb="3">
      <t>コウゲキケン</t>
    </rPh>
    <phoneticPr fontId="1"/>
  </si>
  <si>
    <t>スポーンシステム</t>
    <phoneticPr fontId="1"/>
  </si>
  <si>
    <t>ステージ制作</t>
    <rPh sb="4" eb="6">
      <t>セイサク</t>
    </rPh>
    <phoneticPr fontId="1"/>
  </si>
  <si>
    <t>エフェクト</t>
    <phoneticPr fontId="1"/>
  </si>
  <si>
    <t>操作説明(コンボ表記、操作ボタン割り当てなど)</t>
    <rPh sb="0" eb="4">
      <t>ソウサセツメイ</t>
    </rPh>
    <rPh sb="8" eb="10">
      <t>ヒョウキ</t>
    </rPh>
    <rPh sb="11" eb="13">
      <t>ソウサ</t>
    </rPh>
    <rPh sb="16" eb="17">
      <t>ワ</t>
    </rPh>
    <rPh sb="18" eb="19">
      <t>ア</t>
    </rPh>
    <phoneticPr fontId="1"/>
  </si>
  <si>
    <t>その他設定で使うやつ</t>
    <rPh sb="2" eb="3">
      <t>タ</t>
    </rPh>
    <rPh sb="3" eb="5">
      <t>セッテイ</t>
    </rPh>
    <rPh sb="6" eb="7">
      <t>ツカ</t>
    </rPh>
    <phoneticPr fontId="1"/>
  </si>
  <si>
    <t>プレイヤーhpなど</t>
    <phoneticPr fontId="1"/>
  </si>
  <si>
    <t>敵が現れるとき、死ぬときのディゾルブ</t>
    <rPh sb="0" eb="1">
      <t>テキ</t>
    </rPh>
    <rPh sb="2" eb="3">
      <t>アラワ</t>
    </rPh>
    <rPh sb="8" eb="9">
      <t>シ</t>
    </rPh>
    <phoneticPr fontId="1"/>
  </si>
  <si>
    <t>技のエフェクト</t>
    <rPh sb="0" eb="1">
      <t>ワザ</t>
    </rPh>
    <phoneticPr fontId="1"/>
  </si>
  <si>
    <t>その他なにかあれば</t>
    <rPh sb="2" eb="3">
      <t>タ</t>
    </rPh>
    <phoneticPr fontId="1"/>
  </si>
  <si>
    <t>回復アイテム</t>
    <rPh sb="0" eb="2">
      <t>カイフク</t>
    </rPh>
    <phoneticPr fontId="1"/>
  </si>
  <si>
    <t>タイトルシーン制作</t>
    <rPh sb="7" eb="9">
      <t>セイサク</t>
    </rPh>
    <phoneticPr fontId="1"/>
  </si>
  <si>
    <t>オプションシーン制作</t>
    <rPh sb="8" eb="10">
      <t>セイサク</t>
    </rPh>
    <phoneticPr fontId="1"/>
  </si>
  <si>
    <t>ステージセレクトシーン制作</t>
    <rPh sb="11" eb="13">
      <t>セイサク</t>
    </rPh>
    <phoneticPr fontId="1"/>
  </si>
  <si>
    <t>リザルトシーン制作</t>
    <rPh sb="7" eb="9">
      <t>セイサク</t>
    </rPh>
    <phoneticPr fontId="1"/>
  </si>
  <si>
    <t>ゲームオーバーシーン制作</t>
    <rPh sb="10" eb="12">
      <t>セイサク</t>
    </rPh>
    <phoneticPr fontId="1"/>
  </si>
  <si>
    <t>チュートリアル制作</t>
    <rPh sb="7" eb="9">
      <t>セイサク</t>
    </rPh>
    <phoneticPr fontId="1"/>
  </si>
  <si>
    <t>カメラシステム</t>
    <phoneticPr fontId="1"/>
  </si>
  <si>
    <t>BGM,SE、ボイスいれ</t>
    <phoneticPr fontId="1"/>
  </si>
  <si>
    <t>ベータ</t>
  </si>
  <si>
    <t>残り日数</t>
    <rPh sb="0" eb="1">
      <t>ノコ</t>
    </rPh>
    <rPh sb="2" eb="4">
      <t>ニッスウ</t>
    </rPh>
    <phoneticPr fontId="1"/>
  </si>
  <si>
    <t>締め切り</t>
    <rPh sb="0" eb="1">
      <t>シ</t>
    </rPh>
    <rPh sb="2" eb="3">
      <t>キ</t>
    </rPh>
    <phoneticPr fontId="1"/>
  </si>
  <si>
    <t>プロト締め切り</t>
    <rPh sb="3" eb="4">
      <t>シ</t>
    </rPh>
    <rPh sb="5" eb="6">
      <t>キ</t>
    </rPh>
    <phoneticPr fontId="1"/>
  </si>
  <si>
    <t>アルファ締め切り</t>
    <rPh sb="4" eb="5">
      <t>シ</t>
    </rPh>
    <rPh sb="6" eb="7">
      <t>キ</t>
    </rPh>
    <phoneticPr fontId="1"/>
  </si>
  <si>
    <t>ベータ締め切り</t>
    <rPh sb="3" eb="4">
      <t>シ</t>
    </rPh>
    <rPh sb="5" eb="6">
      <t>キ</t>
    </rPh>
    <phoneticPr fontId="1"/>
  </si>
  <si>
    <t>1日当たりのコスト</t>
    <rPh sb="1" eb="3">
      <t>ニチア</t>
    </rPh>
    <phoneticPr fontId="1"/>
  </si>
  <si>
    <t>今日はノックバックをする</t>
    <rPh sb="0" eb="2">
      <t>キョウ</t>
    </rPh>
    <phoneticPr fontId="1"/>
  </si>
  <si>
    <t>①背景(赤色に)</t>
    <rPh sb="1" eb="3">
      <t>ハイケイ</t>
    </rPh>
    <rPh sb="4" eb="6">
      <t>アカイロ</t>
    </rPh>
    <phoneticPr fontId="1"/>
  </si>
  <si>
    <t>②エフェクトを描画(白色に)</t>
    <rPh sb="7" eb="9">
      <t>ビョウガ</t>
    </rPh>
    <rPh sb="10" eb="12">
      <t>シロイロ</t>
    </rPh>
    <phoneticPr fontId="1"/>
  </si>
  <si>
    <t>ノックバック終わったので、必殺技の演出を作る</t>
    <rPh sb="6" eb="7">
      <t>オ</t>
    </rPh>
    <rPh sb="13" eb="16">
      <t>ヒッサツワザ</t>
    </rPh>
    <rPh sb="17" eb="19">
      <t>エンシュツ</t>
    </rPh>
    <rPh sb="20" eb="21">
      <t>ツク</t>
    </rPh>
    <phoneticPr fontId="1"/>
  </si>
  <si>
    <t>必殺技のレンダーターゲットを分けて、マップを赤くしたところ、けっこういい感じだから次は剣のエフェクトをとりあえず作って出す</t>
    <rPh sb="0" eb="3">
      <t>ヒッサツワザ</t>
    </rPh>
    <rPh sb="14" eb="15">
      <t>ワ</t>
    </rPh>
    <rPh sb="22" eb="23">
      <t>アカ</t>
    </rPh>
    <rPh sb="36" eb="37">
      <t>カン</t>
    </rPh>
    <rPh sb="41" eb="42">
      <t>ツギ</t>
    </rPh>
    <rPh sb="43" eb="44">
      <t>ケン</t>
    </rPh>
    <rPh sb="56" eb="57">
      <t>ツク</t>
    </rPh>
    <rPh sb="59" eb="60">
      <t>ダ</t>
    </rPh>
    <phoneticPr fontId="1"/>
  </si>
  <si>
    <t>そのあと、血殺の文字を入れて、完成させる、エフェクトは先輩に聞いて一緒に作る</t>
    <rPh sb="5" eb="6">
      <t>チ</t>
    </rPh>
    <rPh sb="6" eb="7">
      <t>コロ</t>
    </rPh>
    <rPh sb="8" eb="10">
      <t>モジ</t>
    </rPh>
    <rPh sb="11" eb="12">
      <t>イ</t>
    </rPh>
    <rPh sb="15" eb="17">
      <t>カンセイ</t>
    </rPh>
    <rPh sb="27" eb="29">
      <t>センパイ</t>
    </rPh>
    <rPh sb="30" eb="31">
      <t>キ</t>
    </rPh>
    <rPh sb="33" eb="35">
      <t>イッショ</t>
    </rPh>
    <rPh sb="36" eb="37">
      <t>ツク</t>
    </rPh>
    <phoneticPr fontId="1"/>
  </si>
  <si>
    <t>作業中</t>
  </si>
  <si>
    <t>被ダメ周りの処理</t>
    <rPh sb="0" eb="1">
      <t>ヒ</t>
    </rPh>
    <rPh sb="3" eb="4">
      <t>マワ</t>
    </rPh>
    <rPh sb="6" eb="8">
      <t>ショリ</t>
    </rPh>
    <phoneticPr fontId="1"/>
  </si>
  <si>
    <t>エネミーマネージャーを作ってそこで管理</t>
    <rPh sb="11" eb="12">
      <t>ツク</t>
    </rPh>
    <rPh sb="17" eb="19">
      <t>カンリ</t>
    </rPh>
    <phoneticPr fontId="1"/>
  </si>
  <si>
    <t>やりたいこと</t>
    <phoneticPr fontId="1"/>
  </si>
  <si>
    <t>シェーダーのエミッションを鴉に適用など</t>
    <rPh sb="13" eb="14">
      <t>カラス</t>
    </rPh>
    <rPh sb="15" eb="17">
      <t>テキヨウ</t>
    </rPh>
    <phoneticPr fontId="1"/>
  </si>
  <si>
    <t>敵の死に方を雑にしているからいずれ修正必須</t>
    <rPh sb="0" eb="1">
      <t>テキ</t>
    </rPh>
    <rPh sb="2" eb="3">
      <t>シ</t>
    </rPh>
    <rPh sb="4" eb="5">
      <t>カタ</t>
    </rPh>
    <rPh sb="6" eb="7">
      <t>ザツ</t>
    </rPh>
    <rPh sb="17" eb="19">
      <t>シュウセイ</t>
    </rPh>
    <rPh sb="19" eb="21">
      <t>ヒッス</t>
    </rPh>
    <phoneticPr fontId="1"/>
  </si>
  <si>
    <t>敵の死に方</t>
    <rPh sb="0" eb="1">
      <t>テキ</t>
    </rPh>
    <rPh sb="2" eb="3">
      <t>シ</t>
    </rPh>
    <rPh sb="4" eb="5">
      <t>カタ</t>
    </rPh>
    <phoneticPr fontId="1"/>
  </si>
  <si>
    <t>吹き飛ぶとき</t>
    <rPh sb="0" eb="1">
      <t>フ</t>
    </rPh>
    <rPh sb="2" eb="3">
      <t>ト</t>
    </rPh>
    <phoneticPr fontId="1"/>
  </si>
  <si>
    <t>ぶっ飛びながら死ぬ</t>
    <rPh sb="2" eb="3">
      <t>ト</t>
    </rPh>
    <rPh sb="7" eb="8">
      <t>シ</t>
    </rPh>
    <phoneticPr fontId="1"/>
  </si>
  <si>
    <t>吹き飛ばないとき</t>
    <rPh sb="0" eb="1">
      <t>フ</t>
    </rPh>
    <rPh sb="2" eb="3">
      <t>ト</t>
    </rPh>
    <phoneticPr fontId="1"/>
  </si>
  <si>
    <t>死亡アニメーションで死ぬ</t>
    <rPh sb="0" eb="2">
      <t>シボウ</t>
    </rPh>
    <rPh sb="10" eb="11">
      <t>シ</t>
    </rPh>
    <phoneticPr fontId="1"/>
  </si>
  <si>
    <t>空中攻撃時</t>
    <rPh sb="0" eb="2">
      <t>クウチュウ</t>
    </rPh>
    <rPh sb="2" eb="5">
      <t>コウゲキジ</t>
    </rPh>
    <phoneticPr fontId="1"/>
  </si>
  <si>
    <t>最後まで食らった後、死ぬ</t>
    <rPh sb="0" eb="2">
      <t>サイゴ</t>
    </rPh>
    <rPh sb="4" eb="5">
      <t>ク</t>
    </rPh>
    <rPh sb="8" eb="9">
      <t>アト</t>
    </rPh>
    <rPh sb="10" eb="11">
      <t>シ</t>
    </rPh>
    <phoneticPr fontId="1"/>
  </si>
  <si>
    <t>カメラ挙動</t>
    <rPh sb="3" eb="5">
      <t>キョドウ</t>
    </rPh>
    <phoneticPr fontId="1"/>
  </si>
  <si>
    <t>ロックオンはプレイヤーから一番近い敵をロックオン</t>
    <rPh sb="13" eb="16">
      <t>イチバンチカ</t>
    </rPh>
    <rPh sb="17" eb="18">
      <t>テキ</t>
    </rPh>
    <phoneticPr fontId="1"/>
  </si>
  <si>
    <t>ロックオンした敵の方向にプレイヤーは攻撃する</t>
    <rPh sb="7" eb="8">
      <t>テキ</t>
    </rPh>
    <rPh sb="9" eb="11">
      <t>ホウコウ</t>
    </rPh>
    <rPh sb="18" eb="20">
      <t>コウゲキ</t>
    </rPh>
    <phoneticPr fontId="1"/>
  </si>
  <si>
    <t>また、普通の攻撃した時も内部的にはロックオンし、別の入力があった場合は、切り替える</t>
    <rPh sb="3" eb="5">
      <t>フツウ</t>
    </rPh>
    <rPh sb="6" eb="8">
      <t>コウゲキ</t>
    </rPh>
    <rPh sb="10" eb="11">
      <t>トキ</t>
    </rPh>
    <rPh sb="12" eb="15">
      <t>ナイブテキ</t>
    </rPh>
    <rPh sb="24" eb="25">
      <t>ベツ</t>
    </rPh>
    <rPh sb="26" eb="28">
      <t>ニュウリョク</t>
    </rPh>
    <rPh sb="32" eb="34">
      <t>バアイ</t>
    </rPh>
    <rPh sb="36" eb="37">
      <t>キ</t>
    </rPh>
    <rPh sb="38" eb="39">
      <t>カ</t>
    </rPh>
    <phoneticPr fontId="1"/>
  </si>
  <si>
    <t>ロックオンした時はプレイヤーと敵の中間点をカメラは見続ける</t>
    <rPh sb="7" eb="8">
      <t>トキ</t>
    </rPh>
    <rPh sb="15" eb="16">
      <t>テキ</t>
    </rPh>
    <rPh sb="17" eb="20">
      <t>チュウカンテン</t>
    </rPh>
    <rPh sb="25" eb="27">
      <t>ミツヅ</t>
    </rPh>
    <phoneticPr fontId="1"/>
  </si>
  <si>
    <t>カメラの方向とかプレイヤーの方向とかもいろいろありそう</t>
    <rPh sb="4" eb="6">
      <t>ホウコウ</t>
    </rPh>
    <rPh sb="14" eb="16">
      <t>ホウコウ</t>
    </rPh>
    <phoneticPr fontId="1"/>
  </si>
  <si>
    <t>案2</t>
    <rPh sb="0" eb="1">
      <t>アン</t>
    </rPh>
    <phoneticPr fontId="1"/>
  </si>
  <si>
    <t>rayvecとenemyVecの角度を取り、その角度差が小さいところを取る（範囲指定して奥行ってしまうバグをなくす）</t>
    <rPh sb="16" eb="18">
      <t>カクド</t>
    </rPh>
    <rPh sb="19" eb="20">
      <t>ト</t>
    </rPh>
    <rPh sb="24" eb="26">
      <t>カクド</t>
    </rPh>
    <rPh sb="26" eb="27">
      <t>サ</t>
    </rPh>
    <rPh sb="28" eb="29">
      <t>チイ</t>
    </rPh>
    <rPh sb="35" eb="36">
      <t>ト</t>
    </rPh>
    <rPh sb="38" eb="42">
      <t>ハンイシテイ</t>
    </rPh>
    <rPh sb="44" eb="45">
      <t>オク</t>
    </rPh>
    <rPh sb="45" eb="46">
      <t>イ</t>
    </rPh>
    <phoneticPr fontId="1"/>
  </si>
  <si>
    <t>ロックオンしている敵に攻撃がむかうようにする</t>
    <rPh sb="9" eb="10">
      <t>テキ</t>
    </rPh>
    <rPh sb="11" eb="13">
      <t>コウゲキ</t>
    </rPh>
    <phoneticPr fontId="1"/>
  </si>
  <si>
    <t>ロックオンしている敵が死んだら次のやつを探す</t>
    <rPh sb="9" eb="10">
      <t>テキ</t>
    </rPh>
    <rPh sb="11" eb="12">
      <t>シ</t>
    </rPh>
    <rPh sb="15" eb="16">
      <t>ツギ</t>
    </rPh>
    <rPh sb="20" eb="21">
      <t>サガ</t>
    </rPh>
    <phoneticPr fontId="1"/>
  </si>
  <si>
    <t>右スティックの左か右の入力があったら、ロックオンしている敵を変更</t>
    <rPh sb="0" eb="1">
      <t>ミギ</t>
    </rPh>
    <rPh sb="7" eb="8">
      <t>ヒダリ</t>
    </rPh>
    <rPh sb="9" eb="10">
      <t>ミギ</t>
    </rPh>
    <rPh sb="11" eb="13">
      <t>ニュウリョク</t>
    </rPh>
    <rPh sb="28" eb="29">
      <t>テキ</t>
    </rPh>
    <rPh sb="30" eb="32">
      <t>ヘンコウ</t>
    </rPh>
    <phoneticPr fontId="1"/>
  </si>
  <si>
    <t>↑cosΘのやつを大きい順に並び変えてて、変更や、消えたりしたら次のものに変更させる</t>
    <rPh sb="9" eb="10">
      <t>オオ</t>
    </rPh>
    <rPh sb="12" eb="13">
      <t>ジュン</t>
    </rPh>
    <rPh sb="14" eb="15">
      <t>ナラ</t>
    </rPh>
    <rPh sb="16" eb="17">
      <t>カ</t>
    </rPh>
    <rPh sb="21" eb="23">
      <t>ヘンコウ</t>
    </rPh>
    <rPh sb="25" eb="26">
      <t>キ</t>
    </rPh>
    <rPh sb="32" eb="33">
      <t>ツギ</t>
    </rPh>
    <rPh sb="37" eb="39">
      <t>ヘンコウ</t>
    </rPh>
    <phoneticPr fontId="1"/>
  </si>
  <si>
    <t>配列ごと渡してもいい（まだわからんけど）</t>
    <rPh sb="0" eb="2">
      <t>ハイレツ</t>
    </rPh>
    <rPh sb="4" eb="5">
      <t>ワタ</t>
    </rPh>
    <phoneticPr fontId="1"/>
  </si>
  <si>
    <t>攻撃がおそらく単体にしか当たっていない</t>
    <rPh sb="0" eb="2">
      <t>コウゲキ</t>
    </rPh>
    <rPh sb="7" eb="9">
      <t>タンタイ</t>
    </rPh>
    <rPh sb="12" eb="13">
      <t>ア</t>
    </rPh>
    <phoneticPr fontId="1"/>
  </si>
  <si>
    <t>敵について</t>
    <rPh sb="0" eb="1">
      <t>テキ</t>
    </rPh>
    <phoneticPr fontId="1"/>
  </si>
  <si>
    <t>攻撃を2種類にするできれば</t>
    <rPh sb="0" eb="2">
      <t>コウゲキ</t>
    </rPh>
    <rPh sb="4" eb="6">
      <t>シュルイ</t>
    </rPh>
    <phoneticPr fontId="1"/>
  </si>
  <si>
    <t>攻撃の範囲をもっと広くして、攻撃時移動するようにする</t>
    <rPh sb="0" eb="2">
      <t>コウゲキ</t>
    </rPh>
    <rPh sb="3" eb="5">
      <t>ハンイ</t>
    </rPh>
    <rPh sb="9" eb="10">
      <t>ヒロ</t>
    </rPh>
    <rPh sb="14" eb="17">
      <t>コウゲキジ</t>
    </rPh>
    <rPh sb="17" eb="19">
      <t>イドウ</t>
    </rPh>
    <phoneticPr fontId="1"/>
  </si>
  <si>
    <t>攻撃クールタイムの時は、追いかけ続けず、別のステートに移行させる</t>
    <rPh sb="0" eb="2">
      <t>コウゲキ</t>
    </rPh>
    <rPh sb="9" eb="10">
      <t>トキ</t>
    </rPh>
    <rPh sb="12" eb="13">
      <t>オ</t>
    </rPh>
    <rPh sb="16" eb="17">
      <t>ツヅ</t>
    </rPh>
    <rPh sb="20" eb="21">
      <t>ベツ</t>
    </rPh>
    <rPh sb="27" eb="29">
      <t>イコウ</t>
    </rPh>
    <phoneticPr fontId="1"/>
  </si>
  <si>
    <t>上下さがある攻撃の時は地面についたとき、さらに吹っ飛ぶようにする</t>
    <rPh sb="0" eb="2">
      <t>ジョウゲ</t>
    </rPh>
    <rPh sb="6" eb="8">
      <t>コウゲキ</t>
    </rPh>
    <rPh sb="9" eb="10">
      <t>トキ</t>
    </rPh>
    <rPh sb="11" eb="13">
      <t>ジメン</t>
    </rPh>
    <rPh sb="23" eb="24">
      <t>フ</t>
    </rPh>
    <rPh sb="25" eb="26">
      <t>ト</t>
    </rPh>
    <phoneticPr fontId="1"/>
  </si>
  <si>
    <t>プレイヤーについて</t>
    <phoneticPr fontId="1"/>
  </si>
  <si>
    <t>スキル攻撃の後の通常攻撃はもっと早くでるようにしたほうが操作感がいい</t>
    <rPh sb="3" eb="5">
      <t>コウゲキ</t>
    </rPh>
    <rPh sb="6" eb="7">
      <t>アト</t>
    </rPh>
    <rPh sb="8" eb="12">
      <t>ツウジョウコウゲキ</t>
    </rPh>
    <rPh sb="16" eb="17">
      <t>ハヤ</t>
    </rPh>
    <rPh sb="28" eb="31">
      <t>ソウサカン</t>
    </rPh>
    <phoneticPr fontId="1"/>
  </si>
  <si>
    <t>今、ジャスト回避を作っていて、ジャスト回避用のColliderをつくるところ</t>
    <rPh sb="0" eb="1">
      <t>イマ</t>
    </rPh>
    <rPh sb="6" eb="8">
      <t>カイヒ</t>
    </rPh>
    <rPh sb="9" eb="10">
      <t>ツク</t>
    </rPh>
    <rPh sb="19" eb="21">
      <t>カイヒ</t>
    </rPh>
    <rPh sb="21" eb="22">
      <t>ヨウ</t>
    </rPh>
    <phoneticPr fontId="1"/>
  </si>
  <si>
    <t>敵の方向に攻撃が向かうようにする</t>
    <rPh sb="0" eb="1">
      <t>テキ</t>
    </rPh>
    <rPh sb="2" eb="4">
      <t>ホウコウ</t>
    </rPh>
    <rPh sb="5" eb="7">
      <t>コウゲキ</t>
    </rPh>
    <rPh sb="8" eb="9">
      <t>ム</t>
    </rPh>
    <phoneticPr fontId="1"/>
  </si>
  <si>
    <t>必殺技時のタイムスケールが変</t>
    <rPh sb="0" eb="3">
      <t>ヒッサツワザ</t>
    </rPh>
    <rPh sb="3" eb="4">
      <t>ジ</t>
    </rPh>
    <rPh sb="13" eb="14">
      <t>ヘン</t>
    </rPh>
    <phoneticPr fontId="1"/>
  </si>
  <si>
    <t>ジャスト回避の優先順位を下げた</t>
    <rPh sb="4" eb="6">
      <t>カイヒ</t>
    </rPh>
    <rPh sb="7" eb="11">
      <t>ユウセンジュンイ</t>
    </rPh>
    <rPh sb="12" eb="13">
      <t>サ</t>
    </rPh>
    <phoneticPr fontId="1"/>
  </si>
  <si>
    <t>スキル攻撃からの通常攻撃をスムーズになるようにした</t>
    <rPh sb="3" eb="5">
      <t>コウゲキ</t>
    </rPh>
    <rPh sb="8" eb="12">
      <t>ツウジョウコウゲキ</t>
    </rPh>
    <phoneticPr fontId="1"/>
  </si>
  <si>
    <t>空中での攻撃回数を制限しないといけない</t>
    <rPh sb="0" eb="2">
      <t>クウチュウ</t>
    </rPh>
    <rPh sb="4" eb="8">
      <t>コウゲキカイスウ</t>
    </rPh>
    <rPh sb="9" eb="11">
      <t>セイゲン</t>
    </rPh>
    <phoneticPr fontId="1"/>
  </si>
  <si>
    <t>終わらせた。次は、いよいよプレイヤーの攻撃方向、内部ロックオン関連かなー</t>
    <rPh sb="0" eb="1">
      <t>オ</t>
    </rPh>
    <rPh sb="6" eb="7">
      <t>ツギ</t>
    </rPh>
    <rPh sb="19" eb="21">
      <t>コウゲキ</t>
    </rPh>
    <rPh sb="21" eb="23">
      <t>ホウコウ</t>
    </rPh>
    <rPh sb="24" eb="26">
      <t>ナイブ</t>
    </rPh>
    <rPh sb="31" eb="33">
      <t>カンレン</t>
    </rPh>
    <phoneticPr fontId="1"/>
  </si>
  <si>
    <t>それか必殺技、スキルのシステム</t>
    <rPh sb="3" eb="6">
      <t>ヒッサツワザ</t>
    </rPh>
    <phoneticPr fontId="1"/>
  </si>
  <si>
    <t>ドロップ攻撃の終わり際に攻撃判定をつけて、ドロップ攻撃後、周囲は吹き飛ぶようにする</t>
    <rPh sb="4" eb="6">
      <t>コウゲキ</t>
    </rPh>
    <rPh sb="7" eb="11">
      <t>オワリギワ</t>
    </rPh>
    <rPh sb="12" eb="16">
      <t>コウゲキハンテイ</t>
    </rPh>
    <rPh sb="25" eb="28">
      <t>コウゲキゴ</t>
    </rPh>
    <rPh sb="29" eb="31">
      <t>シュウイ</t>
    </rPh>
    <rPh sb="32" eb="33">
      <t>フ</t>
    </rPh>
    <rPh sb="34" eb="35">
      <t>ト</t>
    </rPh>
    <phoneticPr fontId="1"/>
  </si>
  <si>
    <t>そのあと、プレイヤーの攻撃方向、内部ロックオン関連をやる</t>
    <rPh sb="11" eb="15">
      <t>コウゲキホウコウ</t>
    </rPh>
    <rPh sb="16" eb="18">
      <t>ナイブ</t>
    </rPh>
    <rPh sb="23" eb="25">
      <t>カンレン</t>
    </rPh>
    <phoneticPr fontId="1"/>
  </si>
  <si>
    <t>ドロップ攻撃の吹き飛ばし終わった、敵が吹き飛ばした後、すぐに動くより、吹っ飛んだ後、起き上がる時間、寝ている時間があったほうがいいと思うからそうしたい</t>
    <rPh sb="4" eb="6">
      <t>コウゲキ</t>
    </rPh>
    <rPh sb="7" eb="8">
      <t>フ</t>
    </rPh>
    <rPh sb="9" eb="10">
      <t>ト</t>
    </rPh>
    <rPh sb="12" eb="13">
      <t>オ</t>
    </rPh>
    <rPh sb="17" eb="18">
      <t>テキ</t>
    </rPh>
    <rPh sb="19" eb="20">
      <t>フ</t>
    </rPh>
    <rPh sb="21" eb="22">
      <t>ト</t>
    </rPh>
    <rPh sb="25" eb="26">
      <t>アト</t>
    </rPh>
    <rPh sb="30" eb="31">
      <t>ウゴ</t>
    </rPh>
    <rPh sb="35" eb="36">
      <t>フ</t>
    </rPh>
    <rPh sb="37" eb="38">
      <t>ト</t>
    </rPh>
    <rPh sb="40" eb="41">
      <t>アト</t>
    </rPh>
    <rPh sb="42" eb="43">
      <t>オ</t>
    </rPh>
    <rPh sb="44" eb="45">
      <t>ア</t>
    </rPh>
    <rPh sb="47" eb="49">
      <t>ジカン</t>
    </rPh>
    <rPh sb="50" eb="51">
      <t>ネ</t>
    </rPh>
    <rPh sb="54" eb="56">
      <t>ジカン</t>
    </rPh>
    <rPh sb="66" eb="67">
      <t>オモ</t>
    </rPh>
    <phoneticPr fontId="1"/>
  </si>
  <si>
    <t>でも、それは後回しでいいと思う</t>
    <rPh sb="6" eb="8">
      <t>アトマワ</t>
    </rPh>
    <rPh sb="13" eb="14">
      <t>オモ</t>
    </rPh>
    <phoneticPr fontId="1"/>
  </si>
  <si>
    <t>次は、ステージをもとにちゃんとwave制にする</t>
    <rPh sb="0" eb="1">
      <t>ツギ</t>
    </rPh>
    <rPh sb="19" eb="20">
      <t>セイ</t>
    </rPh>
    <phoneticPr fontId="1"/>
  </si>
  <si>
    <t>そのあと、攻撃の操作改善をやる</t>
    <rPh sb="5" eb="7">
      <t>コウゲキ</t>
    </rPh>
    <rPh sb="8" eb="12">
      <t>ソウサカイゼン</t>
    </rPh>
    <phoneticPr fontId="1"/>
  </si>
  <si>
    <t>血殺シーン、やっぱり敵も黒く描画したいかも、シェーダーで。（敵が目立ってあんまりな感じがした）</t>
    <rPh sb="0" eb="1">
      <t>チ</t>
    </rPh>
    <rPh sb="1" eb="2">
      <t>サツ</t>
    </rPh>
    <rPh sb="10" eb="11">
      <t>テキ</t>
    </rPh>
    <rPh sb="12" eb="13">
      <t>クロ</t>
    </rPh>
    <rPh sb="14" eb="16">
      <t>ビョウガ</t>
    </rPh>
    <rPh sb="30" eb="31">
      <t>テキ</t>
    </rPh>
    <rPh sb="32" eb="34">
      <t>メダ</t>
    </rPh>
    <rPh sb="41" eb="42">
      <t>カン</t>
    </rPh>
    <phoneticPr fontId="1"/>
  </si>
  <si>
    <t>スカイボックス</t>
    <phoneticPr fontId="1"/>
  </si>
  <si>
    <t>インターン</t>
    <phoneticPr fontId="1"/>
  </si>
  <si>
    <t>be-ta最終が27日</t>
    <rPh sb="5" eb="7">
      <t>サイシュウ</t>
    </rPh>
    <rPh sb="10" eb="11">
      <t>ニチ</t>
    </rPh>
    <phoneticPr fontId="1"/>
  </si>
  <si>
    <t>敵が死んだときの配列の消去などをしていないので、旗を立ててそれをする</t>
    <rPh sb="0" eb="1">
      <t>テキ</t>
    </rPh>
    <rPh sb="2" eb="3">
      <t>シ</t>
    </rPh>
    <rPh sb="8" eb="10">
      <t>ハイレツ</t>
    </rPh>
    <rPh sb="11" eb="13">
      <t>ショウキョ</t>
    </rPh>
    <rPh sb="24" eb="25">
      <t>ハタ</t>
    </rPh>
    <rPh sb="26" eb="27">
      <t>タ</t>
    </rPh>
    <phoneticPr fontId="1"/>
  </si>
  <si>
    <t>地上5段完成している</t>
    <rPh sb="0" eb="2">
      <t>チジョウ</t>
    </rPh>
    <rPh sb="3" eb="4">
      <t>ダン</t>
    </rPh>
    <rPh sb="4" eb="6">
      <t>カンセイ</t>
    </rPh>
    <phoneticPr fontId="1"/>
  </si>
  <si>
    <t>x,y</t>
    <phoneticPr fontId="1"/>
  </si>
  <si>
    <t>xx,y</t>
    <phoneticPr fontId="1"/>
  </si>
  <si>
    <t>xxxy</t>
    <phoneticPr fontId="1"/>
  </si>
  <si>
    <t>切り上げ攻撃3種</t>
    <rPh sb="0" eb="1">
      <t>キ</t>
    </rPh>
    <rPh sb="7" eb="8">
      <t>シュ</t>
    </rPh>
    <phoneticPr fontId="1"/>
  </si>
  <si>
    <t>スキル3種</t>
    <rPh sb="4" eb="5">
      <t>シュ</t>
    </rPh>
    <phoneticPr fontId="1"/>
  </si>
  <si>
    <t>マスト</t>
    <phoneticPr fontId="1"/>
  </si>
  <si>
    <t>できたらうれしい</t>
    <phoneticPr fontId="1"/>
  </si>
  <si>
    <t>全部担当</t>
    <rPh sb="0" eb="2">
      <t>ゼンブ</t>
    </rPh>
    <rPh sb="2" eb="4">
      <t>タントウ</t>
    </rPh>
    <phoneticPr fontId="1"/>
  </si>
  <si>
    <t>たいき</t>
    <phoneticPr fontId="1"/>
  </si>
  <si>
    <t>歩き</t>
    <rPh sb="0" eb="1">
      <t>アル</t>
    </rPh>
    <phoneticPr fontId="1"/>
  </si>
  <si>
    <t>はしり</t>
    <phoneticPr fontId="1"/>
  </si>
  <si>
    <t>かいひ</t>
    <phoneticPr fontId="1"/>
  </si>
  <si>
    <t>バック回避</t>
    <rPh sb="3" eb="5">
      <t>カイヒ</t>
    </rPh>
    <phoneticPr fontId="1"/>
  </si>
  <si>
    <t>らっか</t>
    <phoneticPr fontId="1"/>
  </si>
  <si>
    <t>移動系</t>
    <rPh sb="0" eb="2">
      <t>イドウ</t>
    </rPh>
    <rPh sb="2" eb="3">
      <t>ケイ</t>
    </rPh>
    <phoneticPr fontId="1"/>
  </si>
  <si>
    <t>→</t>
    <phoneticPr fontId="1"/>
  </si>
  <si>
    <t>攻撃1</t>
    <rPh sb="0" eb="2">
      <t>コウゲキ</t>
    </rPh>
    <phoneticPr fontId="1"/>
  </si>
  <si>
    <t>コンボ</t>
    <phoneticPr fontId="1"/>
  </si>
  <si>
    <t>空中攻撃</t>
    <rPh sb="0" eb="2">
      <t>クウチュウ</t>
    </rPh>
    <rPh sb="2" eb="4">
      <t>コウゲキ</t>
    </rPh>
    <phoneticPr fontId="1"/>
  </si>
  <si>
    <t>弱4種</t>
    <rPh sb="0" eb="1">
      <t>ジャク</t>
    </rPh>
    <rPh sb="2" eb="3">
      <t>シュ</t>
    </rPh>
    <phoneticPr fontId="1"/>
  </si>
  <si>
    <t>強1種</t>
    <rPh sb="0" eb="1">
      <t>キョウ</t>
    </rPh>
    <rPh sb="2" eb="3">
      <t>シュ</t>
    </rPh>
    <phoneticPr fontId="1"/>
  </si>
  <si>
    <t>地上強攻撃</t>
    <rPh sb="0" eb="2">
      <t>チジョウ</t>
    </rPh>
    <rPh sb="2" eb="3">
      <t>キョウ</t>
    </rPh>
    <rPh sb="3" eb="5">
      <t>コウゲキ</t>
    </rPh>
    <phoneticPr fontId="1"/>
  </si>
  <si>
    <t>切り上げ攻撃</t>
    <rPh sb="0" eb="1">
      <t>キ</t>
    </rPh>
    <phoneticPr fontId="1"/>
  </si>
  <si>
    <t>モデル切り替えてアニメーションする仕組みを作る</t>
    <rPh sb="3" eb="4">
      <t>キ</t>
    </rPh>
    <rPh sb="5" eb="6">
      <t>カ</t>
    </rPh>
    <rPh sb="17" eb="19">
      <t>シク</t>
    </rPh>
    <rPh sb="21" eb="22">
      <t>ツク</t>
    </rPh>
    <phoneticPr fontId="1"/>
  </si>
  <si>
    <t>ウルトの当たり判定、ステートを作る、そこでのみ確殺が起こるようにする</t>
    <rPh sb="4" eb="5">
      <t>ア</t>
    </rPh>
    <rPh sb="7" eb="9">
      <t>ハンテイ</t>
    </rPh>
    <rPh sb="15" eb="16">
      <t>ツク</t>
    </rPh>
    <rPh sb="23" eb="25">
      <t>カクサツ</t>
    </rPh>
    <rPh sb="26" eb="27">
      <t>オ</t>
    </rPh>
    <phoneticPr fontId="1"/>
  </si>
  <si>
    <t>そのあと、攻撃の操作改善orアニメーション切り替え時のモデル切り替えの仕組みを作る</t>
    <rPh sb="5" eb="7">
      <t>コウゲキ</t>
    </rPh>
    <rPh sb="8" eb="12">
      <t>ソウサカイゼン</t>
    </rPh>
    <rPh sb="21" eb="22">
      <t>キ</t>
    </rPh>
    <rPh sb="23" eb="24">
      <t>カ</t>
    </rPh>
    <rPh sb="25" eb="26">
      <t>ジ</t>
    </rPh>
    <rPh sb="30" eb="31">
      <t>キ</t>
    </rPh>
    <rPh sb="32" eb="33">
      <t>カ</t>
    </rPh>
    <rPh sb="35" eb="37">
      <t>シク</t>
    </rPh>
    <rPh sb="39" eb="40">
      <t>ツク</t>
    </rPh>
    <phoneticPr fontId="1"/>
  </si>
  <si>
    <t>先にプロトを完成させてから、攻撃操作改善などをする</t>
    <rPh sb="0" eb="1">
      <t>サキ</t>
    </rPh>
    <rPh sb="6" eb="8">
      <t>カンセイ</t>
    </rPh>
    <rPh sb="14" eb="16">
      <t>コウゲキ</t>
    </rPh>
    <rPh sb="16" eb="18">
      <t>ソウサ</t>
    </rPh>
    <rPh sb="18" eb="20">
      <t>カイゼン</t>
    </rPh>
    <phoneticPr fontId="1"/>
  </si>
  <si>
    <t>次はプレイヤーの被弾の仕組みを作った後、プレイヤーのhpなどを表示して、、っていう風にする</t>
    <rPh sb="0" eb="1">
      <t>ツギ</t>
    </rPh>
    <rPh sb="8" eb="10">
      <t>ヒダン</t>
    </rPh>
    <rPh sb="11" eb="13">
      <t>シク</t>
    </rPh>
    <rPh sb="15" eb="16">
      <t>ツク</t>
    </rPh>
    <rPh sb="18" eb="19">
      <t>アト</t>
    </rPh>
    <rPh sb="31" eb="33">
      <t>ヒョウジ</t>
    </rPh>
    <rPh sb="41" eb="42">
      <t>フウ</t>
    </rPh>
    <phoneticPr fontId="1"/>
  </si>
  <si>
    <t>被弾を作った、今、プレイヤーが死ぬステートを作ってる</t>
    <rPh sb="0" eb="2">
      <t>ヒダン</t>
    </rPh>
    <rPh sb="3" eb="4">
      <t>ツク</t>
    </rPh>
    <rPh sb="7" eb="8">
      <t>イマ</t>
    </rPh>
    <rPh sb="15" eb="16">
      <t>シ</t>
    </rPh>
    <rPh sb="22" eb="23">
      <t>ツク</t>
    </rPh>
    <phoneticPr fontId="1"/>
  </si>
  <si>
    <t>それが終わったらプロとほぼ終わり</t>
    <rPh sb="3" eb="4">
      <t>オ</t>
    </rPh>
    <rPh sb="13" eb="14">
      <t>オ</t>
    </rPh>
    <phoneticPr fontId="1"/>
  </si>
  <si>
    <t>基本的なプロトは完成</t>
    <rPh sb="0" eb="3">
      <t>キホンテキ</t>
    </rPh>
    <rPh sb="8" eb="10">
      <t>カンセイ</t>
    </rPh>
    <phoneticPr fontId="1"/>
  </si>
  <si>
    <t>不安要素は、残り時間と、アニメーション</t>
    <rPh sb="0" eb="4">
      <t>フアンヨウソ</t>
    </rPh>
    <rPh sb="6" eb="7">
      <t>ノコ</t>
    </rPh>
    <rPh sb="8" eb="10">
      <t>ジカン</t>
    </rPh>
    <phoneticPr fontId="1"/>
  </si>
  <si>
    <t>次やることは攻撃の改善か、攻撃の際にモデルを切り替えること</t>
    <rPh sb="0" eb="1">
      <t>ツギ</t>
    </rPh>
    <rPh sb="6" eb="8">
      <t>コウゲキ</t>
    </rPh>
    <rPh sb="9" eb="11">
      <t>カイゼン</t>
    </rPh>
    <rPh sb="13" eb="15">
      <t>コウゲキ</t>
    </rPh>
    <rPh sb="16" eb="17">
      <t>サイ</t>
    </rPh>
    <rPh sb="22" eb="23">
      <t>キ</t>
    </rPh>
    <rPh sb="24" eb="25">
      <t>カ</t>
    </rPh>
    <phoneticPr fontId="1"/>
  </si>
  <si>
    <t>スキル、ウルトゲージ周り</t>
    <rPh sb="10" eb="11">
      <t>マワ</t>
    </rPh>
    <phoneticPr fontId="1"/>
  </si>
  <si>
    <t>ロックオンカメラ切り替え、死亡時の自動切換え</t>
    <rPh sb="8" eb="9">
      <t>キ</t>
    </rPh>
    <rPh sb="10" eb="11">
      <t>カ</t>
    </rPh>
    <rPh sb="13" eb="16">
      <t>シボウジ</t>
    </rPh>
    <rPh sb="17" eb="19">
      <t>ジドウ</t>
    </rPh>
    <rPh sb="19" eb="21">
      <t>キリカ</t>
    </rPh>
    <phoneticPr fontId="1"/>
  </si>
  <si>
    <t>ジャンプ時のカメラの改善終わり、</t>
    <rPh sb="4" eb="5">
      <t>ジ</t>
    </rPh>
    <rPh sb="10" eb="12">
      <t>カイゼン</t>
    </rPh>
    <rPh sb="12" eb="13">
      <t>オ</t>
    </rPh>
    <phoneticPr fontId="1"/>
  </si>
  <si>
    <t>敵が空中で死ぬの変だし、攻撃をした敵の空中-&gt;地面のノックバックが変</t>
    <rPh sb="0" eb="1">
      <t>テキ</t>
    </rPh>
    <rPh sb="2" eb="4">
      <t>クウチュウ</t>
    </rPh>
    <rPh sb="5" eb="6">
      <t>シ</t>
    </rPh>
    <rPh sb="8" eb="9">
      <t>ヘン</t>
    </rPh>
    <rPh sb="12" eb="14">
      <t>コウゲキ</t>
    </rPh>
    <rPh sb="17" eb="18">
      <t>テキ</t>
    </rPh>
    <rPh sb="19" eb="21">
      <t>クウチュウ</t>
    </rPh>
    <rPh sb="23" eb="25">
      <t>ジメン</t>
    </rPh>
    <rPh sb="33" eb="34">
      <t>ヘン</t>
    </rPh>
    <phoneticPr fontId="1"/>
  </si>
  <si>
    <t>敵が吹っ飛ばされた後は、しばらく動けない状態にしたい</t>
    <rPh sb="0" eb="1">
      <t>テキ</t>
    </rPh>
    <rPh sb="2" eb="3">
      <t>フ</t>
    </rPh>
    <rPh sb="4" eb="5">
      <t>ト</t>
    </rPh>
    <rPh sb="9" eb="10">
      <t>アト</t>
    </rPh>
    <rPh sb="16" eb="17">
      <t>ウゴ</t>
    </rPh>
    <rPh sb="20" eb="22">
      <t>ジョウタイ</t>
    </rPh>
    <phoneticPr fontId="1"/>
  </si>
  <si>
    <t>次やることは、攻撃の操作感改善のための、ロックオンシステムの改善</t>
    <rPh sb="0" eb="1">
      <t>ツギ</t>
    </rPh>
    <rPh sb="7" eb="9">
      <t>コウゲキ</t>
    </rPh>
    <rPh sb="10" eb="13">
      <t>ソウサカン</t>
    </rPh>
    <rPh sb="13" eb="15">
      <t>カイゼン</t>
    </rPh>
    <rPh sb="30" eb="32">
      <t>カイゼン</t>
    </rPh>
    <phoneticPr fontId="1"/>
  </si>
  <si>
    <t>ロックオンの切り替えはできるようになった。</t>
    <rPh sb="6" eb="7">
      <t>キ</t>
    </rPh>
    <rPh sb="8" eb="9">
      <t>カ</t>
    </rPh>
    <phoneticPr fontId="1"/>
  </si>
  <si>
    <t>次は、ロックオンしている敵が死んだとき、自動でターゲットが切り替わる仕組み</t>
    <rPh sb="0" eb="1">
      <t>ツギ</t>
    </rPh>
    <rPh sb="12" eb="13">
      <t>テキ</t>
    </rPh>
    <rPh sb="14" eb="15">
      <t>シ</t>
    </rPh>
    <rPh sb="20" eb="22">
      <t>ジドウ</t>
    </rPh>
    <rPh sb="29" eb="30">
      <t>キ</t>
    </rPh>
    <rPh sb="31" eb="32">
      <t>カ</t>
    </rPh>
    <rPh sb="34" eb="36">
      <t>シク</t>
    </rPh>
    <phoneticPr fontId="1"/>
  </si>
  <si>
    <t>終わったので、ターゲットしている敵に向かって攻撃する仕組みを作る</t>
    <rPh sb="0" eb="1">
      <t>オ</t>
    </rPh>
    <rPh sb="16" eb="17">
      <t>テキ</t>
    </rPh>
    <rPh sb="18" eb="19">
      <t>ム</t>
    </rPh>
    <rPh sb="22" eb="24">
      <t>コウゲキ</t>
    </rPh>
    <rPh sb="26" eb="28">
      <t>シク</t>
    </rPh>
    <rPh sb="30" eb="31">
      <t>ツク</t>
    </rPh>
    <phoneticPr fontId="1"/>
  </si>
  <si>
    <t>ロックオンの時のターゲットもプレイヤーカメラ同様にプレイヤーの高さに応じて、割合を決めて変えるようにする</t>
    <rPh sb="6" eb="7">
      <t>トキ</t>
    </rPh>
    <rPh sb="22" eb="24">
      <t>ドウヨウ</t>
    </rPh>
    <rPh sb="31" eb="32">
      <t>タカ</t>
    </rPh>
    <rPh sb="34" eb="35">
      <t>オウ</t>
    </rPh>
    <rPh sb="38" eb="40">
      <t>ワリアイ</t>
    </rPh>
    <rPh sb="41" eb="42">
      <t>キ</t>
    </rPh>
    <rPh sb="44" eb="45">
      <t>カ</t>
    </rPh>
    <phoneticPr fontId="1"/>
  </si>
  <si>
    <t>ロックオンしていないとき、の内部的なターゲットについて</t>
    <rPh sb="14" eb="17">
      <t>ナイブテキ</t>
    </rPh>
    <phoneticPr fontId="1"/>
  </si>
  <si>
    <t>入力方向の先に敵がいたらそいつに切り替わる</t>
    <rPh sb="0" eb="2">
      <t>ニュウリョク</t>
    </rPh>
    <rPh sb="2" eb="4">
      <t>ホウコウ</t>
    </rPh>
    <rPh sb="5" eb="6">
      <t>サキ</t>
    </rPh>
    <rPh sb="7" eb="8">
      <t>テキ</t>
    </rPh>
    <rPh sb="16" eb="17">
      <t>キ</t>
    </rPh>
    <rPh sb="18" eb="19">
      <t>カ</t>
    </rPh>
    <phoneticPr fontId="1"/>
  </si>
  <si>
    <t>攻撃して当たった敵をターゲットにする</t>
    <rPh sb="0" eb="2">
      <t>コウゲキ</t>
    </rPh>
    <phoneticPr fontId="1"/>
  </si>
  <si>
    <t>多段ヒットした場合</t>
    <rPh sb="0" eb="2">
      <t>タダン</t>
    </rPh>
    <rPh sb="7" eb="9">
      <t>バアイ</t>
    </rPh>
    <phoneticPr fontId="1"/>
  </si>
  <si>
    <t>最初の敵をターゲットする？</t>
    <rPh sb="0" eb="2">
      <t>サイショ</t>
    </rPh>
    <rPh sb="3" eb="4">
      <t>テキ</t>
    </rPh>
    <phoneticPr fontId="1"/>
  </si>
  <si>
    <t>内部ロックオンの基盤は完成→現在は、攻撃したら内部ロックオンの設定を完了</t>
    <rPh sb="0" eb="2">
      <t>ナイブ</t>
    </rPh>
    <rPh sb="8" eb="10">
      <t>キバン</t>
    </rPh>
    <rPh sb="11" eb="13">
      <t>カンセイ</t>
    </rPh>
    <rPh sb="14" eb="16">
      <t>ゲンザイ</t>
    </rPh>
    <rPh sb="18" eb="20">
      <t>コウゲキ</t>
    </rPh>
    <rPh sb="23" eb="25">
      <t>ナイブ</t>
    </rPh>
    <rPh sb="31" eb="33">
      <t>セッテイ</t>
    </rPh>
    <rPh sb="34" eb="36">
      <t>カンリョウ</t>
    </rPh>
    <phoneticPr fontId="1"/>
  </si>
  <si>
    <t>次は、攻撃の時に入力があったら、その方向に敵がいたら内部ターゲットを切り替える、いなかったらそのまま</t>
    <rPh sb="0" eb="1">
      <t>ツギ</t>
    </rPh>
    <rPh sb="3" eb="5">
      <t>コウゲキ</t>
    </rPh>
    <rPh sb="6" eb="7">
      <t>トキ</t>
    </rPh>
    <rPh sb="8" eb="10">
      <t>ニュウリョク</t>
    </rPh>
    <rPh sb="18" eb="20">
      <t>ホウコウ</t>
    </rPh>
    <rPh sb="21" eb="22">
      <t>テキ</t>
    </rPh>
    <rPh sb="26" eb="28">
      <t>ナイブ</t>
    </rPh>
    <rPh sb="34" eb="35">
      <t>キ</t>
    </rPh>
    <rPh sb="36" eb="37">
      <t>カ</t>
    </rPh>
    <phoneticPr fontId="1"/>
  </si>
  <si>
    <t>また、内部ターゲットがいなかったらその敵を探す仕組みがあってもいい</t>
    <rPh sb="3" eb="5">
      <t>ナイブ</t>
    </rPh>
    <rPh sb="19" eb="20">
      <t>テキ</t>
    </rPh>
    <rPh sb="21" eb="22">
      <t>サガ</t>
    </rPh>
    <rPh sb="23" eb="25">
      <t>シク</t>
    </rPh>
    <phoneticPr fontId="1"/>
  </si>
  <si>
    <t>攻撃が当たったタイミングで新しいカメラ(攻撃中にカッコいい角度のするカメラ)に切り替えて、右スティックの入力があったら、PlayerCameraに戻すs</t>
    <rPh sb="0" eb="2">
      <t>コウゲキ</t>
    </rPh>
    <rPh sb="3" eb="4">
      <t>ア</t>
    </rPh>
    <rPh sb="13" eb="14">
      <t>アタラ</t>
    </rPh>
    <rPh sb="20" eb="23">
      <t>コウゲキチュウ</t>
    </rPh>
    <rPh sb="29" eb="31">
      <t>カクド</t>
    </rPh>
    <rPh sb="39" eb="40">
      <t>キ</t>
    </rPh>
    <rPh sb="41" eb="42">
      <t>カ</t>
    </rPh>
    <rPh sb="45" eb="46">
      <t>ミギ</t>
    </rPh>
    <rPh sb="52" eb="54">
      <t>ニュウリョク</t>
    </rPh>
    <rPh sb="73" eb="74">
      <t>モド</t>
    </rPh>
    <phoneticPr fontId="1"/>
  </si>
  <si>
    <t>PlayerStateAttackでgamesceneの関数を呼び出す-&gt;入力方向に敵がいたら内部ターゲットをきりかえる</t>
    <rPh sb="28" eb="30">
      <t>カンスウ</t>
    </rPh>
    <rPh sb="31" eb="32">
      <t>ヨ</t>
    </rPh>
    <rPh sb="33" eb="34">
      <t>ダ</t>
    </rPh>
    <rPh sb="37" eb="41">
      <t>ニュウリョクホウコウ</t>
    </rPh>
    <rPh sb="42" eb="43">
      <t>テキ</t>
    </rPh>
    <rPh sb="47" eb="49">
      <t>ナイブ</t>
    </rPh>
    <phoneticPr fontId="1"/>
  </si>
  <si>
    <t>内部ロックオンの仕組み終わった！すべて終わったと思う</t>
    <rPh sb="0" eb="2">
      <t>ナイブ</t>
    </rPh>
    <rPh sb="8" eb="10">
      <t>シク</t>
    </rPh>
    <rPh sb="11" eb="12">
      <t>オ</t>
    </rPh>
    <rPh sb="19" eb="20">
      <t>オ</t>
    </rPh>
    <rPh sb="24" eb="25">
      <t>オモ</t>
    </rPh>
    <phoneticPr fontId="1"/>
  </si>
  <si>
    <t>後は、内部ロックオンした時にカッコいいカメラに行くように自然とカメラの位置を変える（攻撃が当たったタイミングで）</t>
    <rPh sb="0" eb="1">
      <t>アト</t>
    </rPh>
    <rPh sb="3" eb="5">
      <t>ナイブ</t>
    </rPh>
    <rPh sb="12" eb="13">
      <t>トキ</t>
    </rPh>
    <rPh sb="23" eb="24">
      <t>イ</t>
    </rPh>
    <rPh sb="28" eb="30">
      <t>シゼン</t>
    </rPh>
    <rPh sb="35" eb="37">
      <t>イチ</t>
    </rPh>
    <rPh sb="38" eb="39">
      <t>カ</t>
    </rPh>
    <rPh sb="42" eb="44">
      <t>コウゲキ</t>
    </rPh>
    <rPh sb="45" eb="46">
      <t>ア</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</si>
</sst>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8">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
      <sz val="11"/>
      <color theme="0"/>
      <name val="Yu Gothic"/>
      <family val="2"/>
      <scheme val="minor"/>
    </font>
  </fonts>
  <fills count="29">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4" tint="0.59999389629810485"/>
        <bgColor indexed="64"/>
      </patternFill>
    </fill>
    <fill>
      <patternFill patternType="solid">
        <fgColor rgb="FF002060"/>
        <bgColor indexed="64"/>
      </patternFill>
    </fill>
    <fill>
      <patternFill patternType="solid">
        <fgColor theme="0" tint="-0.249977111117893"/>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5">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0" xfId="0" applyFill="1"/>
    <xf numFmtId="0" fontId="0" fillId="25"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26" borderId="2" xfId="0" applyFill="1" applyBorder="1"/>
    <xf numFmtId="14" fontId="0" fillId="10" borderId="2" xfId="0" applyNumberFormat="1" applyFill="1" applyBorder="1"/>
    <xf numFmtId="56" fontId="0" fillId="10" borderId="2" xfId="0" applyNumberFormat="1" applyFill="1" applyBorder="1"/>
    <xf numFmtId="0" fontId="7" fillId="27" borderId="2" xfId="0" applyFont="1" applyFill="1" applyBorder="1"/>
    <xf numFmtId="0" fontId="0" fillId="27" borderId="0" xfId="0" applyFill="1"/>
    <xf numFmtId="0" fontId="0" fillId="28" borderId="0" xfId="0" applyFill="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topLeftCell="A10" workbookViewId="0">
      <selection activeCell="C24" sqref="C24"/>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SUM(作業工数見積もり!E3:E76)</f>
        <v>187</v>
      </c>
    </row>
    <row r="4" spans="2:5">
      <c r="B4" s="5" t="s">
        <v>6</v>
      </c>
      <c r="C4">
        <f>SUMIF(作業工数見積もり!G3:G23,"完了",作業工数見積もり!E3:E23)</f>
        <v>8</v>
      </c>
      <c r="D4" t="s">
        <v>7</v>
      </c>
    </row>
    <row r="5" spans="2:5">
      <c r="B5" s="6" t="s">
        <v>8</v>
      </c>
      <c r="C5" s="2">
        <f ca="1">NETWORKDAYS(C6,C7)</f>
        <v>437</v>
      </c>
      <c r="D5" s="3">
        <f ca="1" xml:space="preserve"> C4 / C5</f>
        <v>1.8306636155606407E-2</v>
      </c>
    </row>
    <row r="6" spans="2:5">
      <c r="B6" s="7" t="s">
        <v>9</v>
      </c>
      <c r="C6" s="1">
        <f>DATE(2024,11,7)</f>
        <v>45603</v>
      </c>
    </row>
    <row r="7" spans="2:5">
      <c r="B7" s="8" t="s">
        <v>11</v>
      </c>
      <c r="C7" s="1">
        <f ca="1">TODAY()</f>
        <v>46215</v>
      </c>
    </row>
    <row r="9" spans="2:5">
      <c r="D9" t="s">
        <v>12</v>
      </c>
      <c r="E9" t="s">
        <v>13</v>
      </c>
    </row>
    <row r="10" spans="2:5">
      <c r="B10" s="4" t="s">
        <v>15</v>
      </c>
      <c r="C10" s="1">
        <f>DATE(2024,12,20)</f>
        <v>45646</v>
      </c>
      <c r="D10" s="2">
        <f ca="1">NETWORKDAYS(TODAY(),C10)</f>
        <v>-406</v>
      </c>
      <c r="E10" s="3">
        <f ca="1">($C$3 - $C$4) / D10</f>
        <v>-0.44088669950738918</v>
      </c>
    </row>
    <row r="11" spans="2:5">
      <c r="B11" s="9" t="s">
        <v>16</v>
      </c>
      <c r="C11" s="1">
        <f>DATE(2025,1,17)</f>
        <v>45674</v>
      </c>
      <c r="D11" s="2">
        <f ca="1">NETWORKDAYS(TODAY(),C11)</f>
        <v>-386</v>
      </c>
      <c r="E11" s="3">
        <f ca="1">($C$3 - $C$4) / D11</f>
        <v>-0.46373056994818651</v>
      </c>
    </row>
    <row r="12" spans="2:5">
      <c r="B12" s="6" t="s">
        <v>17</v>
      </c>
      <c r="C12" s="1">
        <f>DATE(2025,2,3)</f>
        <v>45691</v>
      </c>
      <c r="D12" s="2">
        <f ca="1">NETWORKDAYS(TODAY(),C12)</f>
        <v>-375</v>
      </c>
      <c r="E12" s="3">
        <f ca="1">($C$3 - $C$4) / D12</f>
        <v>-0.47733333333333333</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O57"/>
  <sheetViews>
    <sheetView zoomScale="85" zoomScaleNormal="85" workbookViewId="0">
      <selection activeCell="G36" sqref="G36"/>
    </sheetView>
  </sheetViews>
  <sheetFormatPr defaultRowHeight="18.75" outlineLevelRow="1"/>
  <cols>
    <col min="1" max="1" width="17.125" style="10" bestFit="1" customWidth="1"/>
    <col min="2" max="2" width="45.875" style="10" bestFit="1" customWidth="1"/>
    <col min="3" max="3" width="11.75" style="16" bestFit="1" customWidth="1"/>
    <col min="4" max="4" width="15.25" style="16" bestFit="1" customWidth="1"/>
    <col min="5" max="6" width="13.5" style="16" bestFit="1" customWidth="1"/>
    <col min="7" max="7" width="15.25" style="16" bestFit="1" customWidth="1"/>
    <col min="8" max="8" width="9" style="10"/>
    <col min="9" max="9" width="17.125" style="10" bestFit="1" customWidth="1"/>
    <col min="10" max="11" width="11" style="10" bestFit="1" customWidth="1"/>
    <col min="12" max="12" width="9" style="10" bestFit="1" customWidth="1"/>
    <col min="13" max="13" width="9" style="10"/>
    <col min="14" max="14" width="18.375" style="10" bestFit="1" customWidth="1"/>
    <col min="15" max="15" width="9" style="11"/>
    <col min="16" max="16384" width="9" style="10"/>
  </cols>
  <sheetData>
    <row r="1" spans="1:14">
      <c r="A1" s="10" t="s">
        <v>43</v>
      </c>
      <c r="B1" s="10" t="s">
        <v>45</v>
      </c>
    </row>
    <row r="2" spans="1:14">
      <c r="A2" s="14" t="s">
        <v>31</v>
      </c>
      <c r="B2" s="14" t="s">
        <v>32</v>
      </c>
      <c r="C2" s="15" t="s">
        <v>1</v>
      </c>
      <c r="D2" s="15" t="s">
        <v>2</v>
      </c>
      <c r="E2" s="15" t="s">
        <v>33</v>
      </c>
      <c r="F2" s="15" t="s">
        <v>3</v>
      </c>
      <c r="G2" s="15" t="s">
        <v>34</v>
      </c>
      <c r="J2" s="10" t="s">
        <v>59</v>
      </c>
      <c r="K2" s="10" t="s">
        <v>60</v>
      </c>
      <c r="L2" s="10" t="s">
        <v>58</v>
      </c>
      <c r="M2" s="10" t="s">
        <v>294</v>
      </c>
      <c r="N2" s="10" t="s">
        <v>299</v>
      </c>
    </row>
    <row r="3" spans="1:14" ht="39.75" customHeight="1">
      <c r="A3" s="17" t="s">
        <v>35</v>
      </c>
      <c r="B3" s="10" t="s">
        <v>47</v>
      </c>
      <c r="C3" s="16" t="s">
        <v>5</v>
      </c>
      <c r="D3" s="16" t="s">
        <v>18</v>
      </c>
      <c r="E3" s="16">
        <v>0</v>
      </c>
      <c r="G3" s="16" t="s">
        <v>39</v>
      </c>
      <c r="I3" s="25" t="s">
        <v>61</v>
      </c>
      <c r="J3" s="10">
        <f>SUM(J4,J5,J6)</f>
        <v>187</v>
      </c>
      <c r="K3" s="10">
        <f>SUMIFS(E3:E55,G3:G55,"未着手")</f>
        <v>130</v>
      </c>
      <c r="L3" s="10">
        <f>SUM(F3:F43)</f>
        <v>32</v>
      </c>
      <c r="M3" s="10">
        <f ca="1">INT(J11 - TODAY())</f>
        <v>50</v>
      </c>
      <c r="N3" s="10">
        <f ca="1">K3/M3</f>
        <v>2.6</v>
      </c>
    </row>
    <row r="4" spans="1:14" ht="26.25" hidden="1" customHeight="1">
      <c r="A4" s="17" t="s">
        <v>35</v>
      </c>
      <c r="B4" s="10" t="s">
        <v>48</v>
      </c>
      <c r="C4" s="16" t="s">
        <v>14</v>
      </c>
      <c r="D4" s="16" t="s">
        <v>10</v>
      </c>
      <c r="E4" s="16">
        <v>0</v>
      </c>
      <c r="G4" s="16" t="s">
        <v>39</v>
      </c>
      <c r="I4" s="26" t="s">
        <v>28</v>
      </c>
      <c r="J4" s="29">
        <f>SUMIF(D3:D55,I4,E3:E55)</f>
        <v>94</v>
      </c>
      <c r="K4" s="10">
        <f>SUMIFS(E3:E55,G3:G55,"未着手",D3:D55,I4)</f>
        <v>55</v>
      </c>
      <c r="L4" s="10">
        <f>SUMIFS(F3:F43,D3:D43,I4)</f>
        <v>32</v>
      </c>
      <c r="M4" s="10">
        <f ca="1">INT(J12-TODAY())</f>
        <v>5</v>
      </c>
      <c r="N4" s="10">
        <f ca="1">J4/M4</f>
        <v>18.8</v>
      </c>
    </row>
    <row r="5" spans="1:14" ht="16.5" hidden="1" customHeight="1">
      <c r="A5" s="17" t="s">
        <v>35</v>
      </c>
      <c r="B5" s="10" t="s">
        <v>49</v>
      </c>
      <c r="C5" s="16" t="s">
        <v>14</v>
      </c>
      <c r="D5" s="16" t="s">
        <v>10</v>
      </c>
      <c r="E5" s="16">
        <v>0</v>
      </c>
      <c r="G5" s="16" t="s">
        <v>39</v>
      </c>
      <c r="I5" s="27" t="s">
        <v>0</v>
      </c>
      <c r="J5" s="29">
        <f>SUMIF(D3:D55,I5,E3:E55)</f>
        <v>77</v>
      </c>
      <c r="K5" s="10">
        <f>SUMIFS(E3:E55,G3:G55,"未着手",D3:D55,I5)</f>
        <v>59</v>
      </c>
      <c r="L5" s="10">
        <f>SUMIFS(F4:F47,D4:D47,I5)</f>
        <v>0</v>
      </c>
      <c r="M5" s="10">
        <f t="shared" ref="M5:M6" ca="1" si="0">INT(J13-TODAY())</f>
        <v>29</v>
      </c>
      <c r="N5" s="10">
        <f t="shared" ref="N5:N6" ca="1" si="1">J5/M5</f>
        <v>2.6551724137931036</v>
      </c>
    </row>
    <row r="6" spans="1:14" ht="19.5" hidden="1" customHeight="1">
      <c r="A6" s="17" t="s">
        <v>35</v>
      </c>
      <c r="B6" s="10" t="s">
        <v>36</v>
      </c>
      <c r="C6" s="16" t="s">
        <v>14</v>
      </c>
      <c r="D6" s="16" t="s">
        <v>10</v>
      </c>
      <c r="E6" s="16">
        <v>0</v>
      </c>
      <c r="G6" s="16" t="s">
        <v>39</v>
      </c>
      <c r="I6" s="28" t="s">
        <v>29</v>
      </c>
      <c r="J6" s="29">
        <f>SUMIF(D3:D55,I6,E3:E55)</f>
        <v>16</v>
      </c>
      <c r="K6" s="10">
        <f>SUMIFS(E3:E55,G3:G55,"未着手",D3:D55,I6)</f>
        <v>16</v>
      </c>
      <c r="L6" s="10">
        <f>SUMIFS(F5:F47,D5:D47,I6)</f>
        <v>0</v>
      </c>
      <c r="M6" s="10">
        <f t="shared" ca="1" si="0"/>
        <v>46</v>
      </c>
      <c r="N6" s="10">
        <f t="shared" ca="1" si="1"/>
        <v>0.34782608695652173</v>
      </c>
    </row>
    <row r="7" spans="1:14">
      <c r="A7" s="18" t="s">
        <v>37</v>
      </c>
      <c r="B7" s="10" t="s">
        <v>70</v>
      </c>
      <c r="C7" s="16" t="s">
        <v>5</v>
      </c>
      <c r="D7" s="16" t="s">
        <v>18</v>
      </c>
      <c r="E7" s="16">
        <v>3</v>
      </c>
      <c r="G7" s="16" t="s">
        <v>306</v>
      </c>
    </row>
    <row r="8" spans="1:14" hidden="1" outlineLevel="1">
      <c r="A8" s="19" t="s">
        <v>44</v>
      </c>
      <c r="B8" s="10" t="s">
        <v>250</v>
      </c>
      <c r="C8" s="16" t="s">
        <v>5</v>
      </c>
      <c r="D8" s="16" t="s">
        <v>10</v>
      </c>
      <c r="E8" s="16">
        <v>6</v>
      </c>
      <c r="G8" s="16" t="s">
        <v>306</v>
      </c>
    </row>
    <row r="9" spans="1:14" outlineLevel="1">
      <c r="A9" s="19" t="s">
        <v>44</v>
      </c>
      <c r="B9" s="10" t="s">
        <v>251</v>
      </c>
      <c r="C9" s="16" t="s">
        <v>5</v>
      </c>
      <c r="D9" s="16" t="s">
        <v>18</v>
      </c>
      <c r="E9" s="16">
        <v>2</v>
      </c>
      <c r="G9" s="16" t="s">
        <v>39</v>
      </c>
    </row>
    <row r="10" spans="1:14" hidden="1" outlineLevel="1">
      <c r="A10" s="19" t="s">
        <v>44</v>
      </c>
      <c r="B10" s="10" t="s">
        <v>252</v>
      </c>
      <c r="C10" s="16" t="s">
        <v>5</v>
      </c>
      <c r="D10" s="16" t="s">
        <v>10</v>
      </c>
      <c r="E10" s="16">
        <v>12</v>
      </c>
      <c r="G10" s="16" t="s">
        <v>306</v>
      </c>
      <c r="I10" s="19" t="s">
        <v>294</v>
      </c>
    </row>
    <row r="11" spans="1:14" outlineLevel="1">
      <c r="A11" s="19" t="s">
        <v>44</v>
      </c>
      <c r="B11" s="10" t="s">
        <v>253</v>
      </c>
      <c r="C11" s="16" t="s">
        <v>257</v>
      </c>
      <c r="D11" s="16" t="s">
        <v>18</v>
      </c>
      <c r="E11" s="16">
        <v>2</v>
      </c>
      <c r="G11" s="16" t="s">
        <v>39</v>
      </c>
      <c r="I11" s="10" t="s">
        <v>295</v>
      </c>
      <c r="J11" s="50">
        <v>46265</v>
      </c>
    </row>
    <row r="12" spans="1:14">
      <c r="A12" s="19" t="s">
        <v>44</v>
      </c>
      <c r="B12" s="10" t="s">
        <v>254</v>
      </c>
      <c r="C12" s="16" t="s">
        <v>257</v>
      </c>
      <c r="D12" s="16" t="s">
        <v>18</v>
      </c>
      <c r="E12" s="16">
        <v>12</v>
      </c>
      <c r="G12" s="16" t="s">
        <v>39</v>
      </c>
      <c r="I12" s="10" t="s">
        <v>296</v>
      </c>
      <c r="J12" s="51">
        <v>46220</v>
      </c>
    </row>
    <row r="13" spans="1:14" hidden="1">
      <c r="A13" s="19" t="s">
        <v>44</v>
      </c>
      <c r="B13" s="10" t="s">
        <v>255</v>
      </c>
      <c r="C13" s="16" t="s">
        <v>5</v>
      </c>
      <c r="D13" s="16" t="s">
        <v>18</v>
      </c>
      <c r="E13" s="16">
        <v>1</v>
      </c>
      <c r="F13" s="16">
        <v>1</v>
      </c>
      <c r="G13" s="16" t="s">
        <v>57</v>
      </c>
      <c r="I13" s="10" t="s">
        <v>297</v>
      </c>
      <c r="J13" s="51">
        <v>46244</v>
      </c>
    </row>
    <row r="14" spans="1:14" hidden="1">
      <c r="A14" s="19" t="s">
        <v>44</v>
      </c>
      <c r="B14" s="10" t="s">
        <v>258</v>
      </c>
      <c r="C14" s="16" t="s">
        <v>5</v>
      </c>
      <c r="D14" s="16" t="s">
        <v>18</v>
      </c>
      <c r="E14" s="16">
        <v>2</v>
      </c>
      <c r="G14" s="16" t="s">
        <v>57</v>
      </c>
      <c r="I14" s="10" t="s">
        <v>298</v>
      </c>
      <c r="J14" s="51">
        <v>46261</v>
      </c>
    </row>
    <row r="15" spans="1:14" hidden="1">
      <c r="A15" s="19" t="s">
        <v>44</v>
      </c>
      <c r="B15" s="10" t="s">
        <v>259</v>
      </c>
      <c r="C15" s="16" t="s">
        <v>5</v>
      </c>
      <c r="D15" s="16" t="s">
        <v>18</v>
      </c>
      <c r="E15" s="16">
        <v>2</v>
      </c>
      <c r="F15" s="16">
        <v>2</v>
      </c>
      <c r="G15" s="16" t="s">
        <v>57</v>
      </c>
    </row>
    <row r="16" spans="1:14">
      <c r="A16" s="19" t="s">
        <v>44</v>
      </c>
      <c r="B16" s="10" t="s">
        <v>256</v>
      </c>
      <c r="C16" s="16" t="s">
        <v>14</v>
      </c>
      <c r="D16" s="16" t="s">
        <v>18</v>
      </c>
      <c r="G16" s="16" t="s">
        <v>39</v>
      </c>
    </row>
    <row r="17" spans="1:7">
      <c r="A17" s="19" t="s">
        <v>44</v>
      </c>
      <c r="B17" s="10" t="s">
        <v>393</v>
      </c>
      <c r="C17" s="16" t="s">
        <v>5</v>
      </c>
      <c r="D17" s="16" t="s">
        <v>18</v>
      </c>
      <c r="E17" s="16">
        <v>1</v>
      </c>
      <c r="F17" s="16">
        <v>1</v>
      </c>
      <c r="G17" s="16" t="s">
        <v>57</v>
      </c>
    </row>
    <row r="18" spans="1:7">
      <c r="A18" s="19" t="s">
        <v>44</v>
      </c>
      <c r="B18" s="10" t="s">
        <v>307</v>
      </c>
      <c r="C18" s="16" t="s">
        <v>5</v>
      </c>
      <c r="D18" s="16" t="s">
        <v>18</v>
      </c>
      <c r="E18" s="16">
        <v>2</v>
      </c>
      <c r="F18" s="16">
        <v>2</v>
      </c>
      <c r="G18" s="16" t="s">
        <v>57</v>
      </c>
    </row>
    <row r="19" spans="1:7" hidden="1">
      <c r="A19" s="19" t="s">
        <v>44</v>
      </c>
      <c r="B19" s="10" t="s">
        <v>341</v>
      </c>
      <c r="C19" s="16" t="s">
        <v>5</v>
      </c>
      <c r="D19" s="16" t="s">
        <v>18</v>
      </c>
    </row>
    <row r="20" spans="1:7" hidden="1">
      <c r="A20" s="19" t="s">
        <v>44</v>
      </c>
      <c r="B20" s="10" t="s">
        <v>342</v>
      </c>
      <c r="C20" s="16" t="s">
        <v>5</v>
      </c>
      <c r="D20" s="16" t="s">
        <v>18</v>
      </c>
    </row>
    <row r="21" spans="1:7">
      <c r="A21" s="19" t="s">
        <v>44</v>
      </c>
      <c r="B21" s="10" t="s">
        <v>260</v>
      </c>
      <c r="C21" s="16" t="s">
        <v>5</v>
      </c>
      <c r="D21" s="16" t="s">
        <v>18</v>
      </c>
      <c r="E21" s="16">
        <v>8</v>
      </c>
      <c r="G21" s="16" t="s">
        <v>39</v>
      </c>
    </row>
    <row r="22" spans="1:7">
      <c r="A22" s="20" t="s">
        <v>46</v>
      </c>
      <c r="B22" s="10" t="s">
        <v>261</v>
      </c>
      <c r="C22" s="16" t="s">
        <v>5</v>
      </c>
      <c r="D22" s="16" t="s">
        <v>18</v>
      </c>
      <c r="E22" s="16">
        <v>3</v>
      </c>
      <c r="G22" s="16" t="s">
        <v>39</v>
      </c>
    </row>
    <row r="23" spans="1:7">
      <c r="A23" s="20" t="s">
        <v>46</v>
      </c>
      <c r="B23" s="10" t="s">
        <v>262</v>
      </c>
      <c r="C23" s="16" t="s">
        <v>257</v>
      </c>
      <c r="D23" s="16" t="s">
        <v>18</v>
      </c>
      <c r="E23" s="16">
        <v>5</v>
      </c>
      <c r="G23" s="16" t="s">
        <v>39</v>
      </c>
    </row>
    <row r="24" spans="1:7">
      <c r="A24" s="20" t="s">
        <v>46</v>
      </c>
      <c r="B24" s="10" t="s">
        <v>274</v>
      </c>
      <c r="C24" s="16" t="s">
        <v>257</v>
      </c>
      <c r="D24" s="16" t="s">
        <v>18</v>
      </c>
      <c r="E24" s="16">
        <v>6</v>
      </c>
      <c r="G24" s="16" t="s">
        <v>39</v>
      </c>
    </row>
    <row r="25" spans="1:7" hidden="1">
      <c r="A25" s="20" t="s">
        <v>46</v>
      </c>
      <c r="B25" s="10" t="s">
        <v>275</v>
      </c>
      <c r="C25" s="16" t="s">
        <v>5</v>
      </c>
      <c r="D25" s="16" t="s">
        <v>18</v>
      </c>
      <c r="E25" s="16">
        <v>4</v>
      </c>
      <c r="F25" s="16">
        <v>2</v>
      </c>
      <c r="G25" s="16" t="s">
        <v>57</v>
      </c>
    </row>
    <row r="26" spans="1:7" hidden="1">
      <c r="A26" s="20" t="s">
        <v>46</v>
      </c>
      <c r="B26" s="10" t="s">
        <v>308</v>
      </c>
      <c r="C26" s="16" t="s">
        <v>5</v>
      </c>
      <c r="D26" s="16" t="s">
        <v>18</v>
      </c>
      <c r="E26" s="16">
        <v>2</v>
      </c>
      <c r="F26" s="16">
        <v>1</v>
      </c>
      <c r="G26" s="16" t="s">
        <v>57</v>
      </c>
    </row>
    <row r="27" spans="1:7">
      <c r="A27" s="20" t="s">
        <v>46</v>
      </c>
      <c r="B27" s="10" t="s">
        <v>263</v>
      </c>
      <c r="C27" s="16" t="s">
        <v>257</v>
      </c>
      <c r="D27" s="16" t="s">
        <v>18</v>
      </c>
      <c r="E27" s="16">
        <v>8</v>
      </c>
      <c r="G27" s="16" t="s">
        <v>39</v>
      </c>
    </row>
    <row r="28" spans="1:7" hidden="1">
      <c r="A28" s="49" t="s">
        <v>264</v>
      </c>
      <c r="B28" s="10" t="s">
        <v>265</v>
      </c>
      <c r="C28" s="16" t="s">
        <v>5</v>
      </c>
      <c r="D28" s="16" t="s">
        <v>18</v>
      </c>
      <c r="E28" s="16">
        <v>3</v>
      </c>
      <c r="F28" s="16">
        <v>1</v>
      </c>
      <c r="G28" s="16" t="s">
        <v>57</v>
      </c>
    </row>
    <row r="29" spans="1:7">
      <c r="A29" s="49" t="s">
        <v>264</v>
      </c>
      <c r="B29" s="10" t="s">
        <v>266</v>
      </c>
      <c r="C29" s="16" t="s">
        <v>5</v>
      </c>
      <c r="D29" s="16" t="s">
        <v>18</v>
      </c>
      <c r="E29" s="16">
        <v>2</v>
      </c>
      <c r="F29" s="16">
        <v>2</v>
      </c>
      <c r="G29" s="16" t="s">
        <v>57</v>
      </c>
    </row>
    <row r="30" spans="1:7" hidden="1">
      <c r="A30" s="49" t="s">
        <v>264</v>
      </c>
      <c r="B30" s="10" t="s">
        <v>267</v>
      </c>
      <c r="C30" s="16" t="s">
        <v>5</v>
      </c>
      <c r="D30" s="16" t="s">
        <v>18</v>
      </c>
      <c r="E30" s="16">
        <v>1</v>
      </c>
      <c r="F30" s="16">
        <v>1</v>
      </c>
      <c r="G30" s="16" t="s">
        <v>57</v>
      </c>
    </row>
    <row r="31" spans="1:7">
      <c r="A31" s="49" t="s">
        <v>264</v>
      </c>
      <c r="B31" s="10" t="s">
        <v>268</v>
      </c>
      <c r="C31" s="16" t="s">
        <v>5</v>
      </c>
      <c r="D31" s="16" t="s">
        <v>18</v>
      </c>
      <c r="E31" s="16">
        <v>2</v>
      </c>
      <c r="G31" s="16" t="s">
        <v>306</v>
      </c>
    </row>
    <row r="32" spans="1:7">
      <c r="A32" s="49" t="s">
        <v>264</v>
      </c>
      <c r="B32" s="10" t="s">
        <v>269</v>
      </c>
      <c r="C32" s="16" t="s">
        <v>5</v>
      </c>
      <c r="D32" s="16" t="s">
        <v>18</v>
      </c>
      <c r="E32" s="16">
        <v>2</v>
      </c>
      <c r="G32" s="16" t="s">
        <v>39</v>
      </c>
    </row>
    <row r="33" spans="1:7">
      <c r="A33" s="21" t="s">
        <v>40</v>
      </c>
      <c r="B33" s="10" t="s">
        <v>270</v>
      </c>
      <c r="C33" s="16" t="s">
        <v>5</v>
      </c>
      <c r="D33" s="16" t="s">
        <v>18</v>
      </c>
      <c r="E33" s="16">
        <v>2</v>
      </c>
      <c r="G33" s="16" t="s">
        <v>306</v>
      </c>
    </row>
    <row r="34" spans="1:7">
      <c r="A34" s="21" t="s">
        <v>40</v>
      </c>
      <c r="B34" s="10" t="s">
        <v>271</v>
      </c>
      <c r="C34" s="16" t="s">
        <v>257</v>
      </c>
      <c r="D34" s="16" t="s">
        <v>18</v>
      </c>
      <c r="E34" s="16">
        <v>1</v>
      </c>
      <c r="G34" s="16" t="s">
        <v>39</v>
      </c>
    </row>
    <row r="35" spans="1:7" hidden="1">
      <c r="A35" s="21" t="s">
        <v>40</v>
      </c>
      <c r="B35" s="10" t="s">
        <v>291</v>
      </c>
      <c r="C35" s="16" t="s">
        <v>5</v>
      </c>
      <c r="D35" s="16" t="s">
        <v>18</v>
      </c>
      <c r="E35" s="16">
        <v>2</v>
      </c>
      <c r="F35" s="16">
        <v>12</v>
      </c>
      <c r="G35" s="16" t="s">
        <v>57</v>
      </c>
    </row>
    <row r="36" spans="1:7">
      <c r="A36" s="21" t="s">
        <v>40</v>
      </c>
      <c r="B36" s="10" t="s">
        <v>394</v>
      </c>
      <c r="C36" s="16" t="s">
        <v>5</v>
      </c>
      <c r="D36" s="16" t="s">
        <v>18</v>
      </c>
      <c r="E36" s="16">
        <v>3</v>
      </c>
      <c r="G36" s="16" t="s">
        <v>39</v>
      </c>
    </row>
    <row r="37" spans="1:7">
      <c r="A37" s="21" t="s">
        <v>40</v>
      </c>
      <c r="B37" s="10" t="s">
        <v>272</v>
      </c>
      <c r="C37" s="16" t="s">
        <v>257</v>
      </c>
      <c r="D37" s="16" t="s">
        <v>18</v>
      </c>
      <c r="E37" s="16">
        <v>3</v>
      </c>
      <c r="G37" s="16" t="s">
        <v>39</v>
      </c>
    </row>
    <row r="38" spans="1:7" hidden="1">
      <c r="A38" s="21" t="s">
        <v>40</v>
      </c>
      <c r="B38" s="10" t="s">
        <v>273</v>
      </c>
      <c r="C38" s="16" t="s">
        <v>257</v>
      </c>
      <c r="D38" s="16" t="s">
        <v>18</v>
      </c>
      <c r="E38" s="16">
        <v>6</v>
      </c>
      <c r="F38" s="16">
        <v>6</v>
      </c>
      <c r="G38" s="16" t="s">
        <v>57</v>
      </c>
    </row>
    <row r="39" spans="1:7">
      <c r="A39" s="22" t="s">
        <v>41</v>
      </c>
      <c r="B39" s="10" t="s">
        <v>276</v>
      </c>
      <c r="C39" s="16" t="s">
        <v>5</v>
      </c>
      <c r="D39" s="16" t="s">
        <v>18</v>
      </c>
      <c r="E39" s="16">
        <v>3</v>
      </c>
      <c r="G39" s="16" t="s">
        <v>306</v>
      </c>
    </row>
    <row r="40" spans="1:7" hidden="1">
      <c r="A40" s="22" t="s">
        <v>41</v>
      </c>
      <c r="B40" s="10" t="s">
        <v>355</v>
      </c>
      <c r="C40" s="16" t="s">
        <v>5</v>
      </c>
      <c r="D40" s="16" t="s">
        <v>18</v>
      </c>
      <c r="E40" s="16">
        <v>1</v>
      </c>
      <c r="F40" s="16">
        <v>1</v>
      </c>
      <c r="G40" s="16" t="s">
        <v>57</v>
      </c>
    </row>
    <row r="41" spans="1:7" hidden="1">
      <c r="A41" s="22" t="s">
        <v>41</v>
      </c>
      <c r="B41" s="10" t="s">
        <v>75</v>
      </c>
      <c r="C41" s="16" t="s">
        <v>5</v>
      </c>
      <c r="D41" s="16" t="s">
        <v>18</v>
      </c>
      <c r="E41" s="16">
        <v>0</v>
      </c>
      <c r="G41" s="16" t="s">
        <v>57</v>
      </c>
    </row>
    <row r="42" spans="1:7" hidden="1">
      <c r="A42" s="23" t="s">
        <v>42</v>
      </c>
      <c r="B42" s="10" t="s">
        <v>278</v>
      </c>
      <c r="D42" s="16" t="s">
        <v>293</v>
      </c>
      <c r="E42" s="16">
        <v>2</v>
      </c>
      <c r="G42" s="16" t="s">
        <v>39</v>
      </c>
    </row>
    <row r="43" spans="1:7" hidden="1">
      <c r="A43" s="23" t="s">
        <v>42</v>
      </c>
      <c r="B43" s="10" t="s">
        <v>279</v>
      </c>
      <c r="C43" s="16" t="s">
        <v>5</v>
      </c>
      <c r="D43" s="16" t="s">
        <v>293</v>
      </c>
      <c r="E43" s="16">
        <v>1</v>
      </c>
      <c r="G43" s="16" t="s">
        <v>39</v>
      </c>
    </row>
    <row r="44" spans="1:7" hidden="1">
      <c r="A44" s="23" t="s">
        <v>42</v>
      </c>
      <c r="B44" s="10" t="s">
        <v>280</v>
      </c>
      <c r="D44" s="16" t="s">
        <v>293</v>
      </c>
      <c r="E44" s="16">
        <v>1</v>
      </c>
      <c r="G44" s="16" t="s">
        <v>39</v>
      </c>
    </row>
    <row r="45" spans="1:7" hidden="1">
      <c r="A45" s="10" t="s">
        <v>277</v>
      </c>
      <c r="B45" s="10" t="s">
        <v>281</v>
      </c>
      <c r="D45" s="16" t="s">
        <v>10</v>
      </c>
      <c r="E45" s="16">
        <v>6</v>
      </c>
      <c r="G45" s="16" t="s">
        <v>39</v>
      </c>
    </row>
    <row r="46" spans="1:7" hidden="1">
      <c r="A46" s="10" t="s">
        <v>277</v>
      </c>
      <c r="B46" s="10" t="s">
        <v>282</v>
      </c>
      <c r="D46" s="16" t="s">
        <v>10</v>
      </c>
      <c r="E46" s="16">
        <v>6</v>
      </c>
      <c r="G46" s="16" t="s">
        <v>39</v>
      </c>
    </row>
    <row r="47" spans="1:7">
      <c r="A47" s="10" t="s">
        <v>277</v>
      </c>
      <c r="B47" s="10" t="s">
        <v>283</v>
      </c>
      <c r="D47" s="16" t="s">
        <v>18</v>
      </c>
      <c r="E47" s="16">
        <v>0</v>
      </c>
      <c r="G47" s="16" t="s">
        <v>39</v>
      </c>
    </row>
    <row r="48" spans="1:7" hidden="1">
      <c r="A48" s="13" t="s">
        <v>38</v>
      </c>
      <c r="B48" s="10" t="s">
        <v>284</v>
      </c>
      <c r="C48" s="16" t="s">
        <v>257</v>
      </c>
      <c r="D48" s="16" t="s">
        <v>10</v>
      </c>
      <c r="E48" s="16">
        <v>1</v>
      </c>
      <c r="G48" s="16" t="s">
        <v>39</v>
      </c>
    </row>
    <row r="49" spans="1:7" hidden="1">
      <c r="A49" s="13" t="s">
        <v>38</v>
      </c>
      <c r="B49" s="10" t="s">
        <v>285</v>
      </c>
      <c r="C49" s="16" t="s">
        <v>5</v>
      </c>
      <c r="D49" s="16" t="s">
        <v>10</v>
      </c>
      <c r="E49" s="16">
        <v>8</v>
      </c>
      <c r="G49" s="16" t="s">
        <v>39</v>
      </c>
    </row>
    <row r="50" spans="1:7" hidden="1">
      <c r="A50" s="13" t="s">
        <v>38</v>
      </c>
      <c r="B50" s="10" t="s">
        <v>286</v>
      </c>
      <c r="C50" s="16" t="s">
        <v>5</v>
      </c>
      <c r="D50" s="16" t="s">
        <v>10</v>
      </c>
      <c r="E50" s="16">
        <v>6</v>
      </c>
      <c r="G50" s="16" t="s">
        <v>39</v>
      </c>
    </row>
    <row r="51" spans="1:7" hidden="1">
      <c r="A51" s="13" t="s">
        <v>38</v>
      </c>
      <c r="B51" s="10" t="s">
        <v>287</v>
      </c>
      <c r="C51" s="16" t="s">
        <v>5</v>
      </c>
      <c r="D51" s="16" t="s">
        <v>10</v>
      </c>
      <c r="E51" s="16">
        <v>8</v>
      </c>
      <c r="G51" s="16" t="s">
        <v>39</v>
      </c>
    </row>
    <row r="52" spans="1:7" hidden="1">
      <c r="A52" s="13" t="s">
        <v>38</v>
      </c>
      <c r="B52" s="10" t="s">
        <v>288</v>
      </c>
      <c r="C52" s="16" t="s">
        <v>5</v>
      </c>
      <c r="D52" s="16" t="s">
        <v>10</v>
      </c>
      <c r="E52" s="16">
        <v>8</v>
      </c>
      <c r="G52" s="16" t="s">
        <v>39</v>
      </c>
    </row>
    <row r="53" spans="1:7" hidden="1">
      <c r="A53" s="13" t="s">
        <v>38</v>
      </c>
      <c r="B53" s="10" t="s">
        <v>289</v>
      </c>
      <c r="C53" s="16" t="s">
        <v>5</v>
      </c>
      <c r="D53" s="16" t="s">
        <v>10</v>
      </c>
      <c r="E53" s="16">
        <v>4</v>
      </c>
      <c r="G53" s="16" t="s">
        <v>39</v>
      </c>
    </row>
    <row r="54" spans="1:7" hidden="1">
      <c r="A54" s="13" t="s">
        <v>38</v>
      </c>
      <c r="B54" s="10" t="s">
        <v>290</v>
      </c>
      <c r="C54" s="16" t="s">
        <v>5</v>
      </c>
      <c r="D54" s="16" t="s">
        <v>10</v>
      </c>
      <c r="E54" s="16">
        <v>12</v>
      </c>
      <c r="G54" s="16" t="s">
        <v>39</v>
      </c>
    </row>
    <row r="55" spans="1:7" hidden="1">
      <c r="A55" s="13" t="s">
        <v>38</v>
      </c>
      <c r="B55" s="10" t="s">
        <v>292</v>
      </c>
      <c r="C55" s="16" t="s">
        <v>5</v>
      </c>
      <c r="D55" s="16" t="s">
        <v>293</v>
      </c>
      <c r="E55" s="16">
        <v>12</v>
      </c>
      <c r="F55" s="10"/>
      <c r="G55" s="16" t="s">
        <v>39</v>
      </c>
    </row>
    <row r="57" spans="1:7">
      <c r="A57" s="10" t="s">
        <v>309</v>
      </c>
      <c r="B57" s="10" t="s">
        <v>310</v>
      </c>
    </row>
  </sheetData>
  <autoFilter ref="B2:G55" xr:uid="{00000000-0001-0000-0000-000000000000}">
    <filterColumn colId="2">
      <filters>
        <filter val="プロト"/>
      </filters>
    </filterColumn>
    <filterColumn colId="5">
      <filters>
        <filter val="作業中"/>
        <filter val="未着手"/>
      </filters>
    </filterColumn>
    <sortState xmlns:xlrd2="http://schemas.microsoft.com/office/spreadsheetml/2017/richdata2" ref="B3:G38">
      <sortCondition ref="B2:B38"/>
    </sortState>
  </autoFilter>
  <phoneticPr fontId="1"/>
  <dataValidations count="3">
    <dataValidation type="list" allowBlank="1" showInputMessage="1" showErrorMessage="1" sqref="D3:D55" xr:uid="{8982FD40-CA4D-4B92-93FE-B37B6B67ACD6}">
      <formula1>"プロト,アルファ,ベータ,マスタ"</formula1>
    </dataValidation>
    <dataValidation type="list" allowBlank="1" showInputMessage="1" showErrorMessage="1" sqref="G3:G55" xr:uid="{E1CFE88F-4F87-4696-BE21-1133C2AEB8C1}">
      <formula1>"未着手,作業中,完了"</formula1>
    </dataValidation>
    <dataValidation type="list" allowBlank="1" showInputMessage="1" showErrorMessage="1" sqref="C3:C55" xr:uid="{AF10AFEC-2E3A-4CB7-ABD8-6255C47E78C2}">
      <formula1>"S,A,B,C"</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28" zoomScale="115" zoomScaleNormal="115" workbookViewId="0">
      <selection activeCell="J27" sqref="J27:K29"/>
    </sheetView>
  </sheetViews>
  <sheetFormatPr defaultRowHeight="18.75"/>
  <sheetData>
    <row r="2" spans="3:16">
      <c r="O2" t="s">
        <v>67</v>
      </c>
    </row>
    <row r="3" spans="3:16">
      <c r="C3" t="s">
        <v>62</v>
      </c>
    </row>
    <row r="4" spans="3:16">
      <c r="C4" s="11" t="s">
        <v>50</v>
      </c>
      <c r="D4" s="11" t="s">
        <v>51</v>
      </c>
      <c r="E4" s="11" t="s">
        <v>52</v>
      </c>
      <c r="F4" s="11" t="s">
        <v>53</v>
      </c>
      <c r="G4" s="11" t="s">
        <v>54</v>
      </c>
      <c r="H4" s="11" t="s">
        <v>55</v>
      </c>
      <c r="I4" s="11" t="s">
        <v>56</v>
      </c>
    </row>
    <row r="5" spans="3:16">
      <c r="C5" s="11"/>
      <c r="D5" s="11"/>
      <c r="E5" s="11"/>
      <c r="F5" s="11"/>
      <c r="G5" s="11"/>
      <c r="H5" s="11">
        <v>1</v>
      </c>
      <c r="I5" s="11">
        <v>2</v>
      </c>
      <c r="M5" t="s">
        <v>68</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18</v>
      </c>
      <c r="P7">
        <v>74</v>
      </c>
    </row>
    <row r="8" spans="3:16">
      <c r="C8" s="10">
        <v>17</v>
      </c>
      <c r="D8" s="10">
        <v>18</v>
      </c>
      <c r="E8" s="10">
        <v>19</v>
      </c>
      <c r="F8" s="10">
        <v>20</v>
      </c>
      <c r="G8" s="10">
        <v>21</v>
      </c>
      <c r="H8" s="38">
        <v>22</v>
      </c>
      <c r="I8" s="11">
        <v>23</v>
      </c>
      <c r="K8" t="s">
        <v>29</v>
      </c>
      <c r="L8" s="37"/>
      <c r="M8">
        <v>17</v>
      </c>
    </row>
    <row r="9" spans="3:16">
      <c r="C9" s="10">
        <v>24</v>
      </c>
      <c r="D9" s="10">
        <v>25</v>
      </c>
      <c r="E9" s="10">
        <v>26</v>
      </c>
      <c r="F9" s="10">
        <v>27</v>
      </c>
      <c r="G9" s="10">
        <v>28</v>
      </c>
      <c r="H9" s="10">
        <v>29</v>
      </c>
      <c r="I9" s="11">
        <v>30</v>
      </c>
      <c r="K9" t="s">
        <v>66</v>
      </c>
      <c r="L9" s="34"/>
      <c r="M9">
        <v>7</v>
      </c>
    </row>
    <row r="10" spans="3:16">
      <c r="C10" s="11">
        <v>31</v>
      </c>
    </row>
    <row r="11" spans="3:16">
      <c r="K11" t="s">
        <v>356</v>
      </c>
      <c r="L11" s="53"/>
    </row>
    <row r="12" spans="3:16">
      <c r="C12" t="s">
        <v>63</v>
      </c>
    </row>
    <row r="13" spans="3:16">
      <c r="C13" s="11" t="s">
        <v>50</v>
      </c>
      <c r="D13" s="11" t="s">
        <v>51</v>
      </c>
      <c r="E13" s="11" t="s">
        <v>52</v>
      </c>
      <c r="F13" s="11" t="s">
        <v>53</v>
      </c>
      <c r="G13" s="11" t="s">
        <v>54</v>
      </c>
      <c r="H13" s="11" t="s">
        <v>55</v>
      </c>
      <c r="I13" s="11" t="s">
        <v>56</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9">
      <c r="C17" s="31">
        <v>21</v>
      </c>
      <c r="D17" s="31">
        <v>22</v>
      </c>
      <c r="E17" s="31">
        <v>23</v>
      </c>
      <c r="F17" s="31">
        <v>24</v>
      </c>
      <c r="G17" s="31">
        <v>25</v>
      </c>
      <c r="H17" s="31">
        <v>26</v>
      </c>
      <c r="I17" s="31">
        <v>27</v>
      </c>
    </row>
    <row r="18" spans="3:9">
      <c r="C18" s="31">
        <v>28</v>
      </c>
      <c r="D18" s="31">
        <v>29</v>
      </c>
      <c r="E18" s="31">
        <v>30</v>
      </c>
      <c r="F18" s="10"/>
      <c r="G18" s="10"/>
      <c r="H18" s="10"/>
      <c r="I18" s="10"/>
    </row>
    <row r="20" spans="3:9">
      <c r="C20" t="s">
        <v>64</v>
      </c>
    </row>
    <row r="21" spans="3:9">
      <c r="C21" s="11" t="s">
        <v>50</v>
      </c>
      <c r="D21" s="11" t="s">
        <v>51</v>
      </c>
      <c r="E21" s="11" t="s">
        <v>52</v>
      </c>
      <c r="F21" s="11" t="s">
        <v>53</v>
      </c>
      <c r="G21" s="11" t="s">
        <v>54</v>
      </c>
      <c r="H21" s="11" t="s">
        <v>55</v>
      </c>
      <c r="I21" s="11" t="s">
        <v>56</v>
      </c>
    </row>
    <row r="22" spans="3:9">
      <c r="C22" s="10"/>
      <c r="D22" s="10"/>
      <c r="E22" s="10"/>
      <c r="F22" s="31">
        <v>1</v>
      </c>
      <c r="G22" s="31">
        <v>2</v>
      </c>
      <c r="H22" s="31">
        <v>3</v>
      </c>
      <c r="I22" s="31">
        <v>4</v>
      </c>
    </row>
    <row r="23" spans="3:9">
      <c r="C23" s="31">
        <v>5</v>
      </c>
      <c r="D23" s="31">
        <v>6</v>
      </c>
      <c r="E23" s="31">
        <v>7</v>
      </c>
      <c r="F23" s="31">
        <v>8</v>
      </c>
      <c r="G23" s="31">
        <v>9</v>
      </c>
      <c r="H23" s="31">
        <v>10</v>
      </c>
      <c r="I23" s="31">
        <v>11</v>
      </c>
    </row>
    <row r="24" spans="3:9">
      <c r="C24" s="31">
        <v>12</v>
      </c>
      <c r="D24" s="31">
        <v>13</v>
      </c>
      <c r="E24" s="31">
        <v>14</v>
      </c>
      <c r="F24" s="31">
        <v>15</v>
      </c>
      <c r="G24" s="31">
        <v>16</v>
      </c>
      <c r="H24" s="31">
        <v>17</v>
      </c>
      <c r="I24" s="19">
        <v>18</v>
      </c>
    </row>
    <row r="25" spans="3:9">
      <c r="C25" s="19">
        <v>19</v>
      </c>
      <c r="D25" s="19">
        <v>20</v>
      </c>
      <c r="E25" s="19">
        <v>21</v>
      </c>
      <c r="F25" s="19">
        <v>22</v>
      </c>
      <c r="G25" s="19">
        <v>23</v>
      </c>
      <c r="H25" s="19">
        <v>24</v>
      </c>
      <c r="I25" s="19">
        <v>25</v>
      </c>
    </row>
    <row r="26" spans="3:9">
      <c r="C26" s="52">
        <v>26</v>
      </c>
      <c r="D26" s="52">
        <v>27</v>
      </c>
      <c r="E26" s="52">
        <v>28</v>
      </c>
      <c r="F26" s="52">
        <v>29</v>
      </c>
      <c r="G26" s="52">
        <v>30</v>
      </c>
      <c r="H26" s="52">
        <v>31</v>
      </c>
      <c r="I26" s="11"/>
    </row>
    <row r="30" spans="3:9">
      <c r="C30" t="s">
        <v>65</v>
      </c>
    </row>
    <row r="31" spans="3:9">
      <c r="C31" s="11" t="s">
        <v>50</v>
      </c>
      <c r="D31" s="11" t="s">
        <v>51</v>
      </c>
      <c r="E31" s="11" t="s">
        <v>52</v>
      </c>
      <c r="F31" s="11" t="s">
        <v>53</v>
      </c>
      <c r="G31" s="11" t="s">
        <v>54</v>
      </c>
      <c r="H31" s="11" t="s">
        <v>55</v>
      </c>
      <c r="I31" s="11" t="s">
        <v>56</v>
      </c>
    </row>
    <row r="32" spans="3:9">
      <c r="C32" s="10"/>
      <c r="D32" s="10"/>
      <c r="E32" s="10"/>
      <c r="F32" s="10"/>
      <c r="G32" s="10"/>
      <c r="H32" s="10"/>
      <c r="I32" s="52">
        <v>1</v>
      </c>
    </row>
    <row r="33" spans="3:11">
      <c r="C33" s="19">
        <v>2</v>
      </c>
      <c r="D33" s="19">
        <v>3</v>
      </c>
      <c r="E33" s="52">
        <v>4</v>
      </c>
      <c r="F33" s="19">
        <v>5</v>
      </c>
      <c r="G33" s="19">
        <v>6</v>
      </c>
      <c r="H33" s="19">
        <v>7</v>
      </c>
      <c r="I33" s="19">
        <v>8</v>
      </c>
    </row>
    <row r="34" spans="3:11">
      <c r="C34" s="19">
        <v>9</v>
      </c>
      <c r="D34" s="19">
        <v>10</v>
      </c>
      <c r="E34" s="37">
        <v>11</v>
      </c>
      <c r="F34" s="37">
        <v>12</v>
      </c>
      <c r="G34" s="37">
        <v>13</v>
      </c>
      <c r="H34" s="37">
        <v>14</v>
      </c>
      <c r="I34" s="37">
        <v>15</v>
      </c>
    </row>
    <row r="35" spans="3:11">
      <c r="C35" s="37">
        <v>16</v>
      </c>
      <c r="D35" s="37">
        <v>17</v>
      </c>
      <c r="E35" s="37">
        <v>18</v>
      </c>
      <c r="F35" s="37">
        <v>19</v>
      </c>
      <c r="G35" s="37">
        <v>20</v>
      </c>
      <c r="H35" s="37">
        <v>21</v>
      </c>
      <c r="I35" s="37">
        <v>22</v>
      </c>
    </row>
    <row r="36" spans="3:11">
      <c r="C36" s="37">
        <v>23</v>
      </c>
      <c r="D36" s="52">
        <v>24</v>
      </c>
      <c r="E36" s="52">
        <v>25</v>
      </c>
      <c r="F36" s="52">
        <v>26</v>
      </c>
      <c r="G36" s="52">
        <v>27</v>
      </c>
      <c r="H36" s="52">
        <v>28</v>
      </c>
      <c r="I36" s="34">
        <v>29</v>
      </c>
      <c r="K36" t="s">
        <v>357</v>
      </c>
    </row>
    <row r="37" spans="3:11">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C91"/>
  <sheetViews>
    <sheetView tabSelected="1" topLeftCell="A62" workbookViewId="0">
      <selection activeCell="C92" sqref="C92"/>
    </sheetView>
  </sheetViews>
  <sheetFormatPr defaultRowHeight="18.75"/>
  <cols>
    <col min="1" max="1" width="8.25" bestFit="1" customWidth="1"/>
    <col min="2" max="2" width="6.25" bestFit="1" customWidth="1"/>
    <col min="3" max="3" width="127.25" bestFit="1" customWidth="1"/>
  </cols>
  <sheetData>
    <row r="1" spans="1:3">
      <c r="A1" t="s">
        <v>77</v>
      </c>
      <c r="B1" t="s">
        <v>78</v>
      </c>
      <c r="C1" t="s">
        <v>79</v>
      </c>
    </row>
    <row r="2" spans="1:3">
      <c r="A2" s="1">
        <v>46166</v>
      </c>
      <c r="B2" t="s">
        <v>80</v>
      </c>
      <c r="C2" t="s">
        <v>81</v>
      </c>
    </row>
    <row r="3" spans="1:3">
      <c r="A3" s="1">
        <v>46167</v>
      </c>
      <c r="B3" t="s">
        <v>82</v>
      </c>
      <c r="C3" t="s">
        <v>83</v>
      </c>
    </row>
    <row r="4" spans="1:3">
      <c r="A4" s="1"/>
      <c r="C4" t="s">
        <v>95</v>
      </c>
    </row>
    <row r="5" spans="1:3">
      <c r="C5" t="s">
        <v>96</v>
      </c>
    </row>
    <row r="7" spans="1:3">
      <c r="A7" s="1">
        <v>46190</v>
      </c>
      <c r="C7" t="s">
        <v>219</v>
      </c>
    </row>
    <row r="8" spans="1:3">
      <c r="A8" s="1">
        <v>46191</v>
      </c>
      <c r="C8" t="s">
        <v>220</v>
      </c>
    </row>
    <row r="9" spans="1:3">
      <c r="A9" s="1">
        <v>46192</v>
      </c>
      <c r="C9" t="s">
        <v>221</v>
      </c>
    </row>
    <row r="10" spans="1:3">
      <c r="C10" t="s">
        <v>222</v>
      </c>
    </row>
    <row r="11" spans="1:3">
      <c r="C11" t="s">
        <v>223</v>
      </c>
    </row>
    <row r="12" spans="1:3">
      <c r="A12" s="1">
        <v>46193</v>
      </c>
      <c r="C12" t="s">
        <v>224</v>
      </c>
    </row>
    <row r="13" spans="1:3">
      <c r="C13" t="s">
        <v>225</v>
      </c>
    </row>
    <row r="14" spans="1:3">
      <c r="A14" s="1">
        <v>46194</v>
      </c>
      <c r="C14" t="s">
        <v>226</v>
      </c>
    </row>
    <row r="15" spans="1:3">
      <c r="C15" t="s">
        <v>227</v>
      </c>
    </row>
    <row r="16" spans="1:3">
      <c r="C16" t="s">
        <v>228</v>
      </c>
    </row>
    <row r="17" spans="1:3">
      <c r="A17" s="1">
        <v>46195</v>
      </c>
      <c r="C17" t="s">
        <v>229</v>
      </c>
    </row>
    <row r="18" spans="1:3">
      <c r="C18" t="s">
        <v>230</v>
      </c>
    </row>
    <row r="19" spans="1:3">
      <c r="C19" t="s">
        <v>231</v>
      </c>
    </row>
    <row r="20" spans="1:3">
      <c r="C20" t="s">
        <v>232</v>
      </c>
    </row>
    <row r="21" spans="1:3">
      <c r="C21" t="s">
        <v>233</v>
      </c>
    </row>
    <row r="22" spans="1:3">
      <c r="C22" t="s">
        <v>235</v>
      </c>
    </row>
    <row r="23" spans="1:3">
      <c r="C23" t="s">
        <v>234</v>
      </c>
    </row>
    <row r="24" spans="1:3">
      <c r="A24" s="1">
        <v>46196</v>
      </c>
      <c r="C24" t="s">
        <v>236</v>
      </c>
    </row>
    <row r="25" spans="1:3">
      <c r="C25" t="s">
        <v>237</v>
      </c>
    </row>
    <row r="26" spans="1:3">
      <c r="C26" t="s">
        <v>238</v>
      </c>
    </row>
    <row r="27" spans="1:3">
      <c r="A27" s="1">
        <v>46197</v>
      </c>
      <c r="C27" t="s">
        <v>239</v>
      </c>
    </row>
    <row r="28" spans="1:3">
      <c r="C28" t="s">
        <v>240</v>
      </c>
    </row>
    <row r="29" spans="1:3">
      <c r="A29" s="1">
        <v>46198</v>
      </c>
      <c r="C29" t="s">
        <v>241</v>
      </c>
    </row>
    <row r="30" spans="1:3">
      <c r="C30" t="s">
        <v>242</v>
      </c>
    </row>
    <row r="31" spans="1:3">
      <c r="C31" t="s">
        <v>243</v>
      </c>
    </row>
    <row r="32" spans="1:3">
      <c r="C32" t="s">
        <v>244</v>
      </c>
    </row>
    <row r="33" spans="1:3">
      <c r="C33" t="s">
        <v>245</v>
      </c>
    </row>
    <row r="34" spans="1:3">
      <c r="C34" t="s">
        <v>246</v>
      </c>
    </row>
    <row r="35" spans="1:3">
      <c r="C35" t="s">
        <v>248</v>
      </c>
    </row>
    <row r="36" spans="1:3">
      <c r="C36" t="s">
        <v>247</v>
      </c>
    </row>
    <row r="37" spans="1:3">
      <c r="A37" s="1">
        <v>46200</v>
      </c>
      <c r="C37" t="s">
        <v>249</v>
      </c>
    </row>
    <row r="38" spans="1:3">
      <c r="A38" s="1">
        <v>46201</v>
      </c>
      <c r="C38" t="s">
        <v>300</v>
      </c>
    </row>
    <row r="39" spans="1:3">
      <c r="C39" t="s">
        <v>303</v>
      </c>
    </row>
    <row r="40" spans="1:3">
      <c r="C40" t="s">
        <v>304</v>
      </c>
    </row>
    <row r="41" spans="1:3">
      <c r="C41" t="s">
        <v>305</v>
      </c>
    </row>
    <row r="43" spans="1:3">
      <c r="A43" s="1">
        <v>46209</v>
      </c>
      <c r="C43" t="s">
        <v>340</v>
      </c>
    </row>
    <row r="44" spans="1:3">
      <c r="C44" t="s">
        <v>343</v>
      </c>
    </row>
    <row r="45" spans="1:3">
      <c r="C45" t="s">
        <v>344</v>
      </c>
    </row>
    <row r="46" spans="1:3">
      <c r="C46" t="s">
        <v>345</v>
      </c>
    </row>
    <row r="47" spans="1:3">
      <c r="C47" t="s">
        <v>346</v>
      </c>
    </row>
    <row r="48" spans="1:3">
      <c r="C48" t="s">
        <v>347</v>
      </c>
    </row>
    <row r="49" spans="1:3">
      <c r="A49" s="1">
        <v>46210</v>
      </c>
      <c r="C49" t="s">
        <v>348</v>
      </c>
    </row>
    <row r="50" spans="1:3">
      <c r="C50" t="s">
        <v>349</v>
      </c>
    </row>
    <row r="52" spans="1:3">
      <c r="A52" s="1">
        <v>46211</v>
      </c>
      <c r="C52" t="s">
        <v>350</v>
      </c>
    </row>
    <row r="53" spans="1:3">
      <c r="C53" t="s">
        <v>351</v>
      </c>
    </row>
    <row r="54" spans="1:3">
      <c r="C54" t="s">
        <v>352</v>
      </c>
    </row>
    <row r="55" spans="1:3">
      <c r="C55" t="s">
        <v>353</v>
      </c>
    </row>
    <row r="56" spans="1:3">
      <c r="C56" t="s">
        <v>354</v>
      </c>
    </row>
    <row r="58" spans="1:3">
      <c r="C58" t="s">
        <v>358</v>
      </c>
    </row>
    <row r="60" spans="1:3">
      <c r="C60" t="s">
        <v>384</v>
      </c>
    </row>
    <row r="61" spans="1:3">
      <c r="C61" t="s">
        <v>385</v>
      </c>
    </row>
    <row r="63" spans="1:3">
      <c r="A63" s="1">
        <v>46212</v>
      </c>
      <c r="C63" t="s">
        <v>386</v>
      </c>
    </row>
    <row r="64" spans="1:3">
      <c r="C64" t="s">
        <v>387</v>
      </c>
    </row>
    <row r="65" spans="1:3">
      <c r="C65" t="s">
        <v>388</v>
      </c>
    </row>
    <row r="66" spans="1:3">
      <c r="C66" t="s">
        <v>389</v>
      </c>
    </row>
    <row r="68" spans="1:3">
      <c r="A68" s="1">
        <v>46213</v>
      </c>
      <c r="C68" t="s">
        <v>390</v>
      </c>
    </row>
    <row r="69" spans="1:3">
      <c r="C69" t="s">
        <v>391</v>
      </c>
    </row>
    <row r="70" spans="1:3">
      <c r="C70" t="s">
        <v>392</v>
      </c>
    </row>
    <row r="72" spans="1:3">
      <c r="A72" s="1">
        <v>46214</v>
      </c>
      <c r="C72" t="s">
        <v>395</v>
      </c>
    </row>
    <row r="73" spans="1:3">
      <c r="C73" t="s">
        <v>396</v>
      </c>
    </row>
    <row r="74" spans="1:3">
      <c r="C74" t="s">
        <v>397</v>
      </c>
    </row>
    <row r="76" spans="1:3">
      <c r="C76" t="s">
        <v>398</v>
      </c>
    </row>
    <row r="77" spans="1:3">
      <c r="C77" t="s">
        <v>399</v>
      </c>
    </row>
    <row r="78" spans="1:3">
      <c r="C78" t="s">
        <v>400</v>
      </c>
    </row>
    <row r="79" spans="1:3">
      <c r="C79" t="s">
        <v>401</v>
      </c>
    </row>
    <row r="81" spans="3:3">
      <c r="C81" t="s">
        <v>402</v>
      </c>
    </row>
    <row r="83" spans="3:3">
      <c r="C83" t="s">
        <v>408</v>
      </c>
    </row>
    <row r="84" spans="3:3">
      <c r="C84" t="s">
        <v>409</v>
      </c>
    </row>
    <row r="85" spans="3:3">
      <c r="C85" t="s">
        <v>410</v>
      </c>
    </row>
    <row r="87" spans="3:3">
      <c r="C87" t="s">
        <v>411</v>
      </c>
    </row>
    <row r="88" spans="3:3">
      <c r="C88" t="s">
        <v>412</v>
      </c>
    </row>
    <row r="90" spans="3:3">
      <c r="C90" t="s">
        <v>413</v>
      </c>
    </row>
    <row r="91" spans="3:3">
      <c r="C91" t="s">
        <v>414</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D8AAA-735E-4C60-B6AA-AFC225D5AECF}">
  <dimension ref="D2:R17"/>
  <sheetViews>
    <sheetView workbookViewId="0">
      <selection activeCell="G13" sqref="G13"/>
    </sheetView>
  </sheetViews>
  <sheetFormatPr defaultRowHeight="18.75"/>
  <cols>
    <col min="4" max="4" width="20.125" bestFit="1" customWidth="1"/>
    <col min="5" max="5" width="7.125" bestFit="1" customWidth="1"/>
    <col min="7" max="7" width="7.125" bestFit="1" customWidth="1"/>
    <col min="8" max="8" width="11" bestFit="1" customWidth="1"/>
  </cols>
  <sheetData>
    <row r="2" spans="4:18">
      <c r="D2" t="s">
        <v>365</v>
      </c>
    </row>
    <row r="3" spans="4:18">
      <c r="D3" t="s">
        <v>359</v>
      </c>
    </row>
    <row r="4" spans="4:18">
      <c r="D4" t="s">
        <v>363</v>
      </c>
      <c r="H4" t="s">
        <v>360</v>
      </c>
    </row>
    <row r="5" spans="4:18">
      <c r="D5" t="s">
        <v>364</v>
      </c>
      <c r="H5" t="s">
        <v>361</v>
      </c>
      <c r="N5" t="s">
        <v>374</v>
      </c>
      <c r="O5" t="s">
        <v>375</v>
      </c>
      <c r="P5" t="s">
        <v>376</v>
      </c>
      <c r="Q5" t="s">
        <v>375</v>
      </c>
      <c r="R5" t="s">
        <v>377</v>
      </c>
    </row>
    <row r="6" spans="4:18">
      <c r="H6" t="s">
        <v>362</v>
      </c>
    </row>
    <row r="9" spans="4:18">
      <c r="D9" t="s">
        <v>366</v>
      </c>
    </row>
    <row r="10" spans="4:18">
      <c r="D10" t="s">
        <v>367</v>
      </c>
      <c r="E10" t="s">
        <v>368</v>
      </c>
      <c r="F10" t="s">
        <v>370</v>
      </c>
      <c r="G10" t="s">
        <v>371</v>
      </c>
      <c r="H10" t="s">
        <v>372</v>
      </c>
      <c r="I10" t="s">
        <v>99</v>
      </c>
      <c r="J10" t="s">
        <v>373</v>
      </c>
      <c r="K10" t="s">
        <v>369</v>
      </c>
    </row>
    <row r="12" spans="4:18">
      <c r="D12" s="54" t="s">
        <v>378</v>
      </c>
      <c r="E12" s="54" t="s">
        <v>379</v>
      </c>
    </row>
    <row r="13" spans="4:18">
      <c r="D13" s="54"/>
      <c r="E13" s="54" t="s">
        <v>380</v>
      </c>
    </row>
    <row r="15" spans="4:18">
      <c r="D15" t="s">
        <v>381</v>
      </c>
      <c r="E15" t="s">
        <v>107</v>
      </c>
      <c r="K15" t="s">
        <v>383</v>
      </c>
    </row>
    <row r="17" spans="14:16">
      <c r="N17" t="s">
        <v>277</v>
      </c>
      <c r="P17" t="s">
        <v>382</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P45"/>
  <sheetViews>
    <sheetView topLeftCell="A25" workbookViewId="0">
      <selection activeCell="L45" sqref="L45"/>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76</v>
      </c>
      <c r="C2" t="s">
        <v>85</v>
      </c>
      <c r="D2" t="s">
        <v>86</v>
      </c>
    </row>
    <row r="3" spans="2:4">
      <c r="D3" t="s">
        <v>87</v>
      </c>
    </row>
    <row r="4" spans="2:4">
      <c r="B4" t="s">
        <v>84</v>
      </c>
      <c r="D4" t="s">
        <v>88</v>
      </c>
    </row>
    <row r="7" spans="2:4">
      <c r="B7" t="s">
        <v>89</v>
      </c>
    </row>
    <row r="9" spans="2:4">
      <c r="B9" t="s">
        <v>90</v>
      </c>
    </row>
    <row r="10" spans="2:4">
      <c r="B10" t="s">
        <v>91</v>
      </c>
      <c r="D10" t="s">
        <v>132</v>
      </c>
    </row>
    <row r="11" spans="2:4">
      <c r="B11" t="s">
        <v>92</v>
      </c>
      <c r="D11" t="s">
        <v>133</v>
      </c>
    </row>
    <row r="12" spans="2:4">
      <c r="D12" t="s">
        <v>301</v>
      </c>
    </row>
    <row r="13" spans="2:4">
      <c r="B13" t="s">
        <v>93</v>
      </c>
      <c r="D13" t="s">
        <v>302</v>
      </c>
    </row>
    <row r="14" spans="2:4">
      <c r="B14" t="s">
        <v>94</v>
      </c>
      <c r="D14" t="s">
        <v>134</v>
      </c>
    </row>
    <row r="15" spans="2:4">
      <c r="D15" t="s">
        <v>135</v>
      </c>
    </row>
    <row r="16" spans="2:4">
      <c r="D16" t="s">
        <v>136</v>
      </c>
    </row>
    <row r="17" spans="2:16">
      <c r="B17" t="s">
        <v>131</v>
      </c>
      <c r="D17" t="s">
        <v>145</v>
      </c>
    </row>
    <row r="18" spans="2:16">
      <c r="B18" t="s">
        <v>327</v>
      </c>
    </row>
    <row r="19" spans="2:16">
      <c r="B19" t="s">
        <v>328</v>
      </c>
    </row>
    <row r="20" spans="2:16">
      <c r="B20" t="s">
        <v>329</v>
      </c>
      <c r="D20" t="s">
        <v>312</v>
      </c>
    </row>
    <row r="21" spans="2:16">
      <c r="B21" t="s">
        <v>330</v>
      </c>
      <c r="D21" t="s">
        <v>313</v>
      </c>
      <c r="E21" t="s">
        <v>314</v>
      </c>
    </row>
    <row r="22" spans="2:16">
      <c r="B22" t="s">
        <v>331</v>
      </c>
      <c r="D22" t="s">
        <v>315</v>
      </c>
      <c r="E22" t="s">
        <v>316</v>
      </c>
    </row>
    <row r="23" spans="2:16">
      <c r="D23" t="s">
        <v>317</v>
      </c>
      <c r="E23" t="s">
        <v>318</v>
      </c>
    </row>
    <row r="25" spans="2:16">
      <c r="B25" s="32"/>
    </row>
    <row r="27" spans="2:16">
      <c r="B27" t="s">
        <v>207</v>
      </c>
      <c r="D27" t="s">
        <v>319</v>
      </c>
    </row>
    <row r="28" spans="2:16">
      <c r="B28" t="s">
        <v>311</v>
      </c>
    </row>
    <row r="29" spans="2:16">
      <c r="D29" t="s">
        <v>320</v>
      </c>
      <c r="H29" t="s">
        <v>324</v>
      </c>
      <c r="O29" t="s">
        <v>325</v>
      </c>
      <c r="P29" t="s">
        <v>326</v>
      </c>
    </row>
    <row r="30" spans="2:16">
      <c r="D30" t="s">
        <v>321</v>
      </c>
    </row>
    <row r="31" spans="2:16">
      <c r="B31" t="s">
        <v>332</v>
      </c>
      <c r="D31" t="s">
        <v>322</v>
      </c>
    </row>
    <row r="33" spans="2:12">
      <c r="B33" t="s">
        <v>333</v>
      </c>
      <c r="D33" t="s">
        <v>323</v>
      </c>
    </row>
    <row r="34" spans="2:12">
      <c r="B34" t="s">
        <v>335</v>
      </c>
    </row>
    <row r="35" spans="2:12">
      <c r="B35" t="s">
        <v>336</v>
      </c>
    </row>
    <row r="36" spans="2:12">
      <c r="B36" t="s">
        <v>334</v>
      </c>
    </row>
    <row r="37" spans="2:12">
      <c r="B37" t="s">
        <v>337</v>
      </c>
    </row>
    <row r="40" spans="2:12">
      <c r="B40" t="s">
        <v>338</v>
      </c>
    </row>
    <row r="41" spans="2:12">
      <c r="B41" t="s">
        <v>339</v>
      </c>
    </row>
    <row r="44" spans="2:12">
      <c r="D44" t="s">
        <v>405</v>
      </c>
      <c r="I44" t="s">
        <v>406</v>
      </c>
      <c r="L44" t="s">
        <v>407</v>
      </c>
    </row>
    <row r="45" spans="2:12">
      <c r="B45" t="s">
        <v>403</v>
      </c>
      <c r="D45" t="s">
        <v>404</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1"/>
      <c r="B1" s="42"/>
      <c r="C1" s="42"/>
      <c r="D1" s="42"/>
      <c r="E1" s="42"/>
      <c r="F1" s="42"/>
      <c r="G1" s="43"/>
    </row>
    <row r="2" spans="1:7">
      <c r="A2" s="44"/>
      <c r="G2" s="45"/>
    </row>
    <row r="3" spans="1:7">
      <c r="A3" s="44"/>
      <c r="C3" t="s">
        <v>185</v>
      </c>
      <c r="G3" s="45"/>
    </row>
    <row r="4" spans="1:7">
      <c r="A4" s="44"/>
      <c r="C4" t="s">
        <v>71</v>
      </c>
      <c r="G4" s="45"/>
    </row>
    <row r="5" spans="1:7">
      <c r="A5" s="44"/>
      <c r="C5" t="s">
        <v>186</v>
      </c>
      <c r="G5" s="45"/>
    </row>
    <row r="6" spans="1:7">
      <c r="A6" s="44"/>
      <c r="C6" t="s">
        <v>188</v>
      </c>
      <c r="G6" s="45"/>
    </row>
    <row r="7" spans="1:7">
      <c r="A7" s="44"/>
      <c r="C7" t="s">
        <v>194</v>
      </c>
      <c r="G7" s="45"/>
    </row>
    <row r="8" spans="1:7">
      <c r="A8" s="44"/>
      <c r="G8" s="45"/>
    </row>
    <row r="9" spans="1:7">
      <c r="A9" s="44"/>
      <c r="B9" t="s">
        <v>187</v>
      </c>
      <c r="D9" t="s">
        <v>189</v>
      </c>
      <c r="F9" t="s">
        <v>192</v>
      </c>
      <c r="G9" s="45"/>
    </row>
    <row r="10" spans="1:7">
      <c r="A10" s="44"/>
      <c r="B10" t="s">
        <v>71</v>
      </c>
      <c r="D10" t="s">
        <v>190</v>
      </c>
      <c r="F10" t="s">
        <v>193</v>
      </c>
      <c r="G10" s="45"/>
    </row>
    <row r="11" spans="1:7">
      <c r="A11" s="44"/>
      <c r="B11" t="s">
        <v>186</v>
      </c>
      <c r="D11" t="s">
        <v>191</v>
      </c>
      <c r="F11" t="s">
        <v>69</v>
      </c>
      <c r="G11" s="45"/>
    </row>
    <row r="12" spans="1:7">
      <c r="A12" s="44"/>
      <c r="B12" t="s">
        <v>188</v>
      </c>
      <c r="D12" t="s">
        <v>188</v>
      </c>
      <c r="F12" t="s">
        <v>188</v>
      </c>
      <c r="G12" s="45"/>
    </row>
    <row r="13" spans="1:7">
      <c r="A13" s="44"/>
      <c r="B13" t="s">
        <v>194</v>
      </c>
      <c r="D13" t="s">
        <v>186</v>
      </c>
      <c r="F13" t="s">
        <v>186</v>
      </c>
      <c r="G13" s="45"/>
    </row>
    <row r="14" spans="1:7" ht="19.5" thickBot="1">
      <c r="A14" s="46"/>
      <c r="B14" s="47"/>
      <c r="C14" s="47"/>
      <c r="D14" s="47" t="s">
        <v>194</v>
      </c>
      <c r="E14" s="47"/>
      <c r="F14" s="47" t="s">
        <v>194</v>
      </c>
      <c r="G14" s="48"/>
    </row>
    <row r="17" spans="2:6">
      <c r="B17" t="s">
        <v>195</v>
      </c>
      <c r="D17" t="s">
        <v>198</v>
      </c>
    </row>
    <row r="18" spans="2:6">
      <c r="B18" t="s">
        <v>74</v>
      </c>
      <c r="D18" t="s">
        <v>197</v>
      </c>
    </row>
    <row r="19" spans="2:6">
      <c r="B19" t="s">
        <v>71</v>
      </c>
      <c r="D19" t="s">
        <v>199</v>
      </c>
    </row>
    <row r="20" spans="2:6">
      <c r="B20" t="s">
        <v>196</v>
      </c>
      <c r="D20" t="s">
        <v>200</v>
      </c>
    </row>
    <row r="21" spans="2:6">
      <c r="B21" t="s">
        <v>97</v>
      </c>
    </row>
    <row r="22" spans="2:6">
      <c r="D22" t="s">
        <v>201</v>
      </c>
      <c r="F22" t="s">
        <v>202</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workbookViewId="0">
      <selection activeCell="AK26" sqref="AK26"/>
    </sheetView>
  </sheetViews>
  <sheetFormatPr defaultColWidth="4" defaultRowHeight="18.75"/>
  <sheetData>
    <row r="1" spans="1:33">
      <c r="M1" t="s">
        <v>101</v>
      </c>
      <c r="T1" t="s">
        <v>115</v>
      </c>
      <c r="AE1" t="s">
        <v>125</v>
      </c>
    </row>
    <row r="2" spans="1:33">
      <c r="B2" s="40" t="s">
        <v>152</v>
      </c>
      <c r="C2" s="40"/>
      <c r="D2" s="40"/>
      <c r="E2" s="40"/>
      <c r="M2" t="s">
        <v>102</v>
      </c>
      <c r="AE2" t="s">
        <v>138</v>
      </c>
    </row>
    <row r="3" spans="1:33">
      <c r="B3" t="s">
        <v>97</v>
      </c>
      <c r="M3" t="s">
        <v>103</v>
      </c>
      <c r="R3" t="s">
        <v>144</v>
      </c>
      <c r="AE3" t="s">
        <v>126</v>
      </c>
      <c r="AG3" t="s">
        <v>139</v>
      </c>
    </row>
    <row r="4" spans="1:33">
      <c r="B4" t="s">
        <v>98</v>
      </c>
      <c r="M4" t="s">
        <v>137</v>
      </c>
      <c r="AE4" t="s">
        <v>127</v>
      </c>
    </row>
    <row r="5" spans="1:33">
      <c r="B5" t="s">
        <v>71</v>
      </c>
      <c r="M5" t="s">
        <v>104</v>
      </c>
      <c r="AE5" t="s">
        <v>128</v>
      </c>
    </row>
    <row r="6" spans="1:33">
      <c r="B6" t="s">
        <v>99</v>
      </c>
      <c r="M6" t="s">
        <v>105</v>
      </c>
      <c r="AE6" t="s">
        <v>129</v>
      </c>
    </row>
    <row r="7" spans="1:33">
      <c r="B7" t="s">
        <v>100</v>
      </c>
      <c r="M7" t="s">
        <v>106</v>
      </c>
      <c r="R7" t="s">
        <v>114</v>
      </c>
      <c r="AE7" t="s">
        <v>130</v>
      </c>
    </row>
    <row r="8" spans="1:33">
      <c r="B8" t="s">
        <v>72</v>
      </c>
      <c r="M8" t="s">
        <v>73</v>
      </c>
    </row>
    <row r="10" spans="1:33">
      <c r="AE10" t="s">
        <v>142</v>
      </c>
    </row>
    <row r="11" spans="1:33">
      <c r="M11" t="s">
        <v>117</v>
      </c>
    </row>
    <row r="12" spans="1:33">
      <c r="M12" t="s">
        <v>118</v>
      </c>
      <c r="AE12" t="s">
        <v>141</v>
      </c>
    </row>
    <row r="13" spans="1:33">
      <c r="B13" t="s">
        <v>46</v>
      </c>
      <c r="M13" t="s">
        <v>123</v>
      </c>
    </row>
    <row r="14" spans="1:33">
      <c r="A14" t="s">
        <v>108</v>
      </c>
      <c r="B14" t="s">
        <v>107</v>
      </c>
      <c r="D14" t="s">
        <v>109</v>
      </c>
    </row>
    <row r="15" spans="1:33">
      <c r="D15" t="s">
        <v>140</v>
      </c>
      <c r="M15" t="s">
        <v>119</v>
      </c>
    </row>
    <row r="16" spans="1:33">
      <c r="M16" t="s">
        <v>120</v>
      </c>
      <c r="AF16" s="39" t="s">
        <v>146</v>
      </c>
      <c r="AG16" s="39"/>
    </row>
    <row r="17" spans="1:37">
      <c r="B17" t="s">
        <v>110</v>
      </c>
      <c r="F17" t="s">
        <v>111</v>
      </c>
      <c r="M17" t="s">
        <v>124</v>
      </c>
      <c r="AF17" t="s">
        <v>147</v>
      </c>
      <c r="AK17" t="s">
        <v>149</v>
      </c>
    </row>
    <row r="18" spans="1:37">
      <c r="M18" t="s">
        <v>121</v>
      </c>
      <c r="AF18" t="s">
        <v>148</v>
      </c>
    </row>
    <row r="19" spans="1:37">
      <c r="B19" t="s">
        <v>113</v>
      </c>
      <c r="D19" t="s">
        <v>111</v>
      </c>
      <c r="M19" t="s">
        <v>122</v>
      </c>
      <c r="AF19" t="s">
        <v>150</v>
      </c>
    </row>
    <row r="20" spans="1:37">
      <c r="AF20" t="s">
        <v>139</v>
      </c>
    </row>
    <row r="21" spans="1:37">
      <c r="B21" t="s">
        <v>112</v>
      </c>
      <c r="D21" t="s">
        <v>111</v>
      </c>
    </row>
    <row r="22" spans="1:37">
      <c r="M22" t="s">
        <v>143</v>
      </c>
    </row>
    <row r="24" spans="1:37">
      <c r="D24" t="s">
        <v>214</v>
      </c>
    </row>
    <row r="28" spans="1:37">
      <c r="A28" t="s">
        <v>215</v>
      </c>
    </row>
    <row r="38" spans="1:15">
      <c r="A38" t="s">
        <v>125</v>
      </c>
    </row>
    <row r="41" spans="1:15">
      <c r="A41" t="s">
        <v>217</v>
      </c>
    </row>
    <row r="42" spans="1:15">
      <c r="A42" t="s">
        <v>218</v>
      </c>
    </row>
    <row r="43" spans="1:15">
      <c r="O43" t="s">
        <v>216</v>
      </c>
    </row>
  </sheetData>
  <phoneticPr fontId="1"/>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0" t="s">
        <v>151</v>
      </c>
      <c r="D2" s="40"/>
      <c r="E2" s="40"/>
      <c r="Q2" t="s">
        <v>153</v>
      </c>
    </row>
    <row r="4" spans="3:24">
      <c r="C4" t="s">
        <v>171</v>
      </c>
      <c r="Q4" t="s">
        <v>169</v>
      </c>
    </row>
    <row r="5" spans="3:24">
      <c r="C5" t="s">
        <v>170</v>
      </c>
      <c r="I5" t="s">
        <v>182</v>
      </c>
      <c r="Q5" t="s">
        <v>180</v>
      </c>
    </row>
    <row r="6" spans="3:24">
      <c r="C6" t="s">
        <v>181</v>
      </c>
      <c r="I6" t="s">
        <v>183</v>
      </c>
      <c r="Q6" t="s">
        <v>154</v>
      </c>
      <c r="S6" t="s">
        <v>155</v>
      </c>
    </row>
    <row r="7" spans="3:24">
      <c r="Q7" t="s">
        <v>156</v>
      </c>
    </row>
    <row r="8" spans="3:24">
      <c r="C8" t="s">
        <v>173</v>
      </c>
      <c r="Q8" t="s">
        <v>157</v>
      </c>
    </row>
    <row r="9" spans="3:24">
      <c r="C9" t="s">
        <v>177</v>
      </c>
      <c r="I9" t="s">
        <v>183</v>
      </c>
      <c r="Q9" t="s">
        <v>175</v>
      </c>
      <c r="X9" t="s">
        <v>176</v>
      </c>
    </row>
    <row r="10" spans="3:24">
      <c r="C10" t="s">
        <v>172</v>
      </c>
      <c r="Q10" t="s">
        <v>158</v>
      </c>
    </row>
    <row r="11" spans="3:24">
      <c r="C11" t="s">
        <v>174</v>
      </c>
      <c r="I11" t="s">
        <v>182</v>
      </c>
      <c r="Q11" t="s">
        <v>159</v>
      </c>
    </row>
    <row r="12" spans="3:24">
      <c r="Q12" t="s">
        <v>160</v>
      </c>
    </row>
    <row r="13" spans="3:24">
      <c r="C13" t="s">
        <v>178</v>
      </c>
      <c r="Q13" t="s">
        <v>161</v>
      </c>
      <c r="S13" t="s">
        <v>162</v>
      </c>
    </row>
    <row r="14" spans="3:24">
      <c r="C14" t="s">
        <v>179</v>
      </c>
      <c r="I14" t="s">
        <v>184</v>
      </c>
      <c r="Q14" t="s">
        <v>163</v>
      </c>
      <c r="S14" t="s">
        <v>164</v>
      </c>
    </row>
    <row r="15" spans="3:24">
      <c r="Q15" t="s">
        <v>165</v>
      </c>
      <c r="R15" t="s">
        <v>166</v>
      </c>
    </row>
    <row r="16" spans="3:24">
      <c r="Q16" t="s">
        <v>167</v>
      </c>
      <c r="S16" t="s">
        <v>168</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116</v>
      </c>
      <c r="AE2" s="41" t="s">
        <v>204</v>
      </c>
      <c r="AF2" s="42"/>
      <c r="AG2" s="42"/>
      <c r="AH2" s="42"/>
      <c r="AI2" s="43"/>
    </row>
    <row r="3" spans="3:35">
      <c r="AE3" s="44" t="s">
        <v>205</v>
      </c>
      <c r="AI3" s="45"/>
    </row>
    <row r="4" spans="3:35">
      <c r="AE4" s="44" t="s">
        <v>206</v>
      </c>
      <c r="AI4" s="45"/>
    </row>
    <row r="5" spans="3:35" ht="19.5" thickBot="1">
      <c r="AE5" s="46" t="s">
        <v>210</v>
      </c>
      <c r="AF5" s="47"/>
      <c r="AG5" s="47"/>
      <c r="AH5" s="47"/>
      <c r="AI5" s="48"/>
    </row>
    <row r="9" spans="3:35">
      <c r="AE9" t="s">
        <v>203</v>
      </c>
    </row>
    <row r="31" spans="34:47">
      <c r="AN31" t="s">
        <v>208</v>
      </c>
      <c r="AU31" t="s">
        <v>213</v>
      </c>
    </row>
    <row r="32" spans="34:47">
      <c r="AH32" t="s">
        <v>212</v>
      </c>
      <c r="AN32" t="s">
        <v>209</v>
      </c>
    </row>
    <row r="33" spans="40:40">
      <c r="AN33" t="s">
        <v>211</v>
      </c>
    </row>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customXml/itemProps2.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BF17534-2B47-4857-AC25-7C99424F8AA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概要</vt:lpstr>
      <vt:lpstr>作業工数見積もり</vt:lpstr>
      <vt:lpstr>カレンダー</vt:lpstr>
      <vt:lpstr>日記</vt:lpstr>
      <vt:lpstr>Sheet1</vt:lpstr>
      <vt:lpstr>メモ</vt:lpstr>
      <vt:lpstr>雑用</vt:lpstr>
      <vt:lpstr>仕様書①</vt:lpstr>
      <vt:lpstr>仕様書②</vt:lpstr>
      <vt:lpstr>クラス設計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2026-07-11T18:39:45Z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