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07DAFD82-04E8-4194-BE18-B9ADD538827E}" xr6:coauthVersionLast="47" xr6:coauthVersionMax="47" xr10:uidLastSave="{00000000-0000-0000-0000-000000000000}"/>
  <bookViews>
    <workbookView xWindow="11775" yWindow="3660" windowWidth="24000"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<sst xmlns="http://schemas.openxmlformats.org/spreadsheetml/2006/main" count="593" uniqueCount="297">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</sst>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427</v>
      </c>
      <c r="D5" s="3">
        <f ca="1" xml:space="preserve"> C4 / C5</f>
        <v>1.405152224824356E-2</v>
      </c>
    </row>
    <row r="6" spans="2:5">
      <c r="B6" s="7" t="s">
        <v>9</v>
      </c>
      <c r="C6" s="1">
        <f>DATE(2024,11,7)</f>
        <v>45603</v>
      </c>
    </row>
    <row r="7" spans="2:5">
      <c r="B7" s="8" t="s">
        <v>11</v>
      </c>
      <c r="C7" s="1">
        <f ca="1">TODAY()</f>
        <v>46199</v>
      </c>
    </row>
    <row r="9" spans="2:5">
      <c r="D9" t="s">
        <v>12</v>
      </c>
      <c r="E9" t="s">
        <v>13</v>
      </c>
    </row>
    <row r="10" spans="2:5">
      <c r="B10" s="4" t="s">
        <v>15</v>
      </c>
      <c r="C10" s="1">
        <f>DATE(2024,12,20)</f>
        <v>45646</v>
      </c>
      <c r="D10" s="2">
        <f ca="1">NETWORKDAYS(TODAY(),C10)</f>
        <v>-396</v>
      </c>
      <c r="E10" s="3">
        <f ca="1">($C$3 - $C$4) / D10</f>
        <v>-0.21717171717171718</v>
      </c>
    </row>
    <row r="11" spans="2:5">
      <c r="B11" s="9" t="s">
        <v>16</v>
      </c>
      <c r="C11" s="1">
        <f>DATE(2025,1,17)</f>
        <v>45674</v>
      </c>
      <c r="D11" s="2">
        <f ca="1">NETWORKDAYS(TODAY(),C11)</f>
        <v>-376</v>
      </c>
      <c r="E11" s="3">
        <f ca="1">($C$3 - $C$4) / D11</f>
        <v>-0.22872340425531915</v>
      </c>
    </row>
    <row r="12" spans="2:5">
      <c r="B12" s="6" t="s">
        <v>17</v>
      </c>
      <c r="C12" s="1">
        <f>DATE(2025,2,3)</f>
        <v>45691</v>
      </c>
      <c r="D12" s="2">
        <f ca="1">NETWORKDAYS(TODAY(),C12)</f>
        <v>-365</v>
      </c>
      <c r="E12" s="3">
        <f ca="1">($C$3 - $C$4) / D12</f>
        <v>-0.23561643835616439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9"/>
  <sheetViews>
    <sheetView tabSelected="1" topLeftCell="A7" workbookViewId="0">
      <selection activeCell="C30" sqref="C30"/>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row r="16" spans="1:3">
      <c r="C16" t="s">
        <v>283</v>
      </c>
    </row>
    <row r="17" spans="1:3">
      <c r="A17" s="1">
        <v>46195</v>
      </c>
      <c r="C17" t="s">
        <v>284</v>
      </c>
    </row>
    <row r="18" spans="1:3">
      <c r="C18" t="s">
        <v>285</v>
      </c>
    </row>
    <row r="19" spans="1:3">
      <c r="C19" t="s">
        <v>286</v>
      </c>
    </row>
    <row r="20" spans="1:3">
      <c r="C20" t="s">
        <v>287</v>
      </c>
    </row>
    <row r="21" spans="1:3">
      <c r="C21" t="s">
        <v>288</v>
      </c>
    </row>
    <row r="22" spans="1:3">
      <c r="C22" t="s">
        <v>290</v>
      </c>
    </row>
    <row r="23" spans="1:3">
      <c r="C23" t="s">
        <v>289</v>
      </c>
    </row>
    <row r="24" spans="1:3">
      <c r="A24" s="1">
        <v>46196</v>
      </c>
      <c r="C24" t="s">
        <v>291</v>
      </c>
    </row>
    <row r="25" spans="1:3">
      <c r="C25" t="s">
        <v>292</v>
      </c>
    </row>
    <row r="26" spans="1:3">
      <c r="C26" t="s">
        <v>293</v>
      </c>
    </row>
    <row r="27" spans="1:3">
      <c r="A27" s="1">
        <v>46197</v>
      </c>
      <c r="C27" t="s">
        <v>294</v>
      </c>
    </row>
    <row r="28" spans="1:3">
      <c r="C28" t="s">
        <v>295</v>
      </c>
    </row>
    <row r="29" spans="1:3">
      <c r="A29" s="1">
        <v>46198</v>
      </c>
      <c r="C29" t="s">
        <v>296</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2026-06-25T16:32:17Z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