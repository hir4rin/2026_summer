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AA0667D6-D87A-404F-8200-F84C9C688904}" xr6:coauthVersionLast="47" xr6:coauthVersionMax="47" xr10:uidLastSave="{00000000-0000-0000-0000-000000000000}"/>
  <bookViews>
    <workbookView xWindow="1530" yWindow="0" windowWidth="22110" windowHeight="2098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<sst xmlns="http://schemas.openxmlformats.org/spreadsheetml/2006/main" count="716" uniqueCount="477">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</sst>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447</v>
      </c>
      <c r="D5" s="3">
        <f ca="1" xml:space="preserve"> C4 / C5</f>
        <v>5.5928411633109618E-2</v>
      </c>
    </row>
    <row r="6" spans="2:5">
      <c r="B6" s="7" t="s">
        <v>9</v>
      </c>
      <c r="C6" s="1">
        <f>DATE(2024,11,7)</f>
        <v>45603</v>
      </c>
    </row>
    <row r="7" spans="2:5">
      <c r="B7" s="8" t="s">
        <v>11</v>
      </c>
      <c r="C7" s="1">
        <f ca="1">TODAY()</f>
        <v>46228</v>
      </c>
    </row>
    <row r="9" spans="2:5">
      <c r="D9" t="s">
        <v>12</v>
      </c>
      <c r="E9" t="s">
        <v>13</v>
      </c>
    </row>
    <row r="10" spans="2:5">
      <c r="B10" s="4" t="s">
        <v>15</v>
      </c>
      <c r="C10" s="1">
        <f>DATE(2024,12,20)</f>
        <v>45646</v>
      </c>
      <c r="D10" s="2">
        <f ca="1">NETWORKDAYS(TODAY(),C10)</f>
        <v>-416</v>
      </c>
      <c r="E10" s="3">
        <f ca="1">($C$3 - $C$4) / D10</f>
        <v>-0.38942307692307693</v>
      </c>
    </row>
    <row r="11" spans="2:5">
      <c r="B11" s="9" t="s">
        <v>16</v>
      </c>
      <c r="C11" s="1">
        <f>DATE(2025,1,17)</f>
        <v>45674</v>
      </c>
      <c r="D11" s="2">
        <f ca="1">NETWORKDAYS(TODAY(),C11)</f>
        <v>-396</v>
      </c>
      <c r="E11" s="3">
        <f ca="1">($C$3 - $C$4) / D11</f>
        <v>-0.40909090909090912</v>
      </c>
    </row>
    <row r="12" spans="2:5">
      <c r="B12" s="6" t="s">
        <v>17</v>
      </c>
      <c r="C12" s="1">
        <f>DATE(2025,2,3)</f>
        <v>45691</v>
      </c>
      <c r="D12" s="2">
        <f ca="1">NETWORKDAYS(TODAY(),C12)</f>
        <v>-385</v>
      </c>
      <c r="E12" s="3">
        <f ca="1">($C$3 - $C$4) / D12</f>
        <v>-0.42077922077922075</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topLeftCell="A5" zoomScale="85" zoomScaleNormal="85" workbookViewId="0">
      <selection activeCell="G42" sqref="G42"/>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109</v>
      </c>
      <c r="L3" s="10">
        <f>SUM(F3:F43)</f>
        <v>45</v>
      </c>
      <c r="M3" s="10">
        <f ca="1">INT(J11 - TODAY())</f>
        <v>37</v>
      </c>
      <c r="N3" s="10">
        <f ca="1">K3/M3</f>
        <v>2.9459459459459461</v>
      </c>
    </row>
    <row r="4" spans="1:14" ht="26.25"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-8</v>
      </c>
      <c r="N4" s="10">
        <f ca="1">J4/M4</f>
        <v>-11.75</v>
      </c>
    </row>
    <row r="5" spans="1:14" ht="16.5"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16</v>
      </c>
      <c r="N5" s="10">
        <f t="shared" ref="N5:N6" ca="1" si="1">J5/M5</f>
        <v>4.8125</v>
      </c>
    </row>
    <row r="6" spans="1:14" ht="19.5" customHeight="1">
      <c r="A6" s="17" t="s">
        <v>35</v>
      </c>
      <c r="B6" s="10" t="s">
        <v>36</v>
      </c>
      <c r="C6" s="16" t="s">
        <v>14</v>
      </c>
      <c r="D6" s="16" t="s">
        <v>10</v>
      </c>
      <c r="E6" s="16">
        <v>0</v>
      </c>
      <c r="G6" s="16" t="s">
        <v>39</v>
      </c>
      <c r="I6" s="28" t="s">
        <v>29</v>
      </c>
      <c r="J6" s="29">
        <f>SUMIF(D3:D55,I6,E3:E55)</f>
        <v>16</v>
      </c>
      <c r="K6" s="10">
        <f>SUMIFS(E3:E55,G3:G55,"未着手",D3:D55,I6)</f>
        <v>15</v>
      </c>
      <c r="L6" s="10">
        <f>SUMIFS(F5:F47,D5:D47,I6)</f>
        <v>1</v>
      </c>
      <c r="M6" s="10">
        <f t="shared" ca="1" si="0"/>
        <v>33</v>
      </c>
      <c r="N6" s="10">
        <f t="shared" ca="1" si="1"/>
        <v>0.48484848484848486</v>
      </c>
    </row>
    <row r="7" spans="1:14">
      <c r="A7" s="18" t="s">
        <v>37</v>
      </c>
      <c r="B7" s="10" t="s">
        <v>70</v>
      </c>
      <c r="C7" s="16" t="s">
        <v>5</v>
      </c>
      <c r="D7" s="16" t="s">
        <v>18</v>
      </c>
      <c r="E7" s="16">
        <v>3</v>
      </c>
      <c r="G7" s="16" t="s">
        <v>306</v>
      </c>
    </row>
    <row r="8" spans="1:14"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386</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334</v>
      </c>
      <c r="C19" s="16" t="s">
        <v>5</v>
      </c>
      <c r="D19" s="16" t="s">
        <v>18</v>
      </c>
    </row>
    <row r="20" spans="1:7" hidden="1">
      <c r="A20" s="19" t="s">
        <v>44</v>
      </c>
      <c r="B20" s="10" t="s">
        <v>335</v>
      </c>
      <c r="C20" s="16" t="s">
        <v>5</v>
      </c>
      <c r="D20" s="16" t="s">
        <v>18</v>
      </c>
    </row>
    <row r="21" spans="1:7">
      <c r="A21" s="19" t="s">
        <v>44</v>
      </c>
      <c r="B21" s="10" t="s">
        <v>260</v>
      </c>
      <c r="C21" s="16" t="s">
        <v>5</v>
      </c>
      <c r="D21" s="16" t="s">
        <v>18</v>
      </c>
      <c r="E21" s="16">
        <v>8</v>
      </c>
      <c r="G21" s="16" t="s">
        <v>39</v>
      </c>
    </row>
    <row r="22" spans="1:7" hidden="1">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348</v>
      </c>
      <c r="C40" s="16" t="s">
        <v>5</v>
      </c>
      <c r="D40" s="16" t="s">
        <v>18</v>
      </c>
      <c r="E40" s="16">
        <v>1</v>
      </c>
      <c r="F40" s="16">
        <v>1</v>
      </c>
      <c r="G40" s="16" t="s">
        <v>57</v>
      </c>
    </row>
    <row r="41" spans="1:7" hidden="1">
      <c r="A41" s="22" t="s">
        <v>41</v>
      </c>
      <c r="B41" s="10" t="s">
        <v>75</v>
      </c>
      <c r="C41" s="16" t="s">
        <v>5</v>
      </c>
      <c r="D41" s="16" t="s">
        <v>18</v>
      </c>
      <c r="E41" s="16">
        <v>0</v>
      </c>
      <c r="G41" s="16" t="s">
        <v>57</v>
      </c>
    </row>
    <row r="42" spans="1:7">
      <c r="A42" s="23" t="s">
        <v>42</v>
      </c>
      <c r="B42" s="10" t="s">
        <v>278</v>
      </c>
      <c r="D42" s="16" t="s">
        <v>293</v>
      </c>
      <c r="E42" s="16">
        <v>2</v>
      </c>
      <c r="G42" s="16" t="s">
        <v>39</v>
      </c>
    </row>
    <row r="43" spans="1:7">
      <c r="A43" s="23" t="s">
        <v>42</v>
      </c>
      <c r="B43" s="10" t="s">
        <v>279</v>
      </c>
      <c r="C43" s="16" t="s">
        <v>5</v>
      </c>
      <c r="D43" s="16" t="s">
        <v>293</v>
      </c>
      <c r="E43" s="16">
        <v>1</v>
      </c>
      <c r="G43" s="16" t="s">
        <v>39</v>
      </c>
    </row>
    <row r="44" spans="1:7">
      <c r="A44" s="23" t="s">
        <v>42</v>
      </c>
      <c r="B44" s="10" t="s">
        <v>280</v>
      </c>
      <c r="D44" s="16" t="s">
        <v>293</v>
      </c>
      <c r="E44" s="16">
        <v>1</v>
      </c>
      <c r="F44" s="16">
        <v>1</v>
      </c>
      <c r="G44" s="16" t="s">
        <v>57</v>
      </c>
    </row>
    <row r="45" spans="1:7">
      <c r="A45" s="10" t="s">
        <v>277</v>
      </c>
      <c r="B45" s="10" t="s">
        <v>281</v>
      </c>
      <c r="D45" s="16" t="s">
        <v>10</v>
      </c>
      <c r="E45" s="16">
        <v>6</v>
      </c>
      <c r="G45" s="16" t="s">
        <v>39</v>
      </c>
    </row>
    <row r="46" spans="1:7">
      <c r="A46" s="10" t="s">
        <v>277</v>
      </c>
      <c r="B46" s="10" t="s">
        <v>282</v>
      </c>
      <c r="D46" s="16" t="s">
        <v>10</v>
      </c>
      <c r="E46" s="16">
        <v>6</v>
      </c>
      <c r="G46" s="16" t="s">
        <v>39</v>
      </c>
    </row>
    <row r="47" spans="1:7">
      <c r="A47" s="10" t="s">
        <v>277</v>
      </c>
      <c r="B47" s="10" t="s">
        <v>283</v>
      </c>
      <c r="D47" s="16" t="s">
        <v>18</v>
      </c>
      <c r="E47" s="16">
        <v>0</v>
      </c>
      <c r="G47" s="16" t="s">
        <v>39</v>
      </c>
    </row>
    <row r="48" spans="1:7">
      <c r="A48" s="13" t="s">
        <v>38</v>
      </c>
      <c r="B48" s="10" t="s">
        <v>284</v>
      </c>
      <c r="C48" s="16" t="s">
        <v>257</v>
      </c>
      <c r="D48" s="16" t="s">
        <v>10</v>
      </c>
      <c r="E48" s="16">
        <v>1</v>
      </c>
      <c r="G48" s="16" t="s">
        <v>39</v>
      </c>
    </row>
    <row r="49" spans="1:7">
      <c r="A49" s="13" t="s">
        <v>38</v>
      </c>
      <c r="B49" s="10" t="s">
        <v>285</v>
      </c>
      <c r="C49" s="16" t="s">
        <v>5</v>
      </c>
      <c r="D49" s="16" t="s">
        <v>10</v>
      </c>
      <c r="E49" s="16">
        <v>8</v>
      </c>
      <c r="G49" s="16" t="s">
        <v>39</v>
      </c>
    </row>
    <row r="50" spans="1:7">
      <c r="A50" s="13" t="s">
        <v>38</v>
      </c>
      <c r="B50" s="10" t="s">
        <v>286</v>
      </c>
      <c r="C50" s="16" t="s">
        <v>5</v>
      </c>
      <c r="D50" s="16" t="s">
        <v>10</v>
      </c>
      <c r="E50" s="16">
        <v>6</v>
      </c>
      <c r="G50" s="16" t="s">
        <v>39</v>
      </c>
    </row>
    <row r="51" spans="1:7">
      <c r="A51" s="13" t="s">
        <v>38</v>
      </c>
      <c r="B51" s="10" t="s">
        <v>287</v>
      </c>
      <c r="C51" s="16" t="s">
        <v>5</v>
      </c>
      <c r="D51" s="16" t="s">
        <v>10</v>
      </c>
      <c r="E51" s="16">
        <v>8</v>
      </c>
      <c r="G51" s="16" t="s">
        <v>39</v>
      </c>
    </row>
    <row r="52" spans="1:7">
      <c r="A52" s="13" t="s">
        <v>38</v>
      </c>
      <c r="B52" s="10" t="s">
        <v>288</v>
      </c>
      <c r="C52" s="16" t="s">
        <v>5</v>
      </c>
      <c r="D52" s="16" t="s">
        <v>10</v>
      </c>
      <c r="E52" s="16">
        <v>8</v>
      </c>
      <c r="G52" s="16" t="s">
        <v>39</v>
      </c>
    </row>
    <row r="53" spans="1:7">
      <c r="A53" s="13" t="s">
        <v>38</v>
      </c>
      <c r="B53" s="10" t="s">
        <v>289</v>
      </c>
      <c r="C53" s="16" t="s">
        <v>5</v>
      </c>
      <c r="D53" s="16" t="s">
        <v>10</v>
      </c>
      <c r="E53" s="16">
        <v>4</v>
      </c>
      <c r="G53" s="16" t="s">
        <v>39</v>
      </c>
    </row>
    <row r="54" spans="1:7">
      <c r="A54" s="13" t="s">
        <v>38</v>
      </c>
      <c r="B54" s="10" t="s">
        <v>290</v>
      </c>
      <c r="C54" s="16" t="s">
        <v>5</v>
      </c>
      <c r="D54" s="16" t="s">
        <v>10</v>
      </c>
      <c r="E54" s="16">
        <v>12</v>
      </c>
      <c r="G54" s="16" t="s">
        <v>39</v>
      </c>
    </row>
    <row r="55" spans="1:7">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58"/>
  <sheetViews>
    <sheetView tabSelected="1" topLeftCell="A133" workbookViewId="0">
      <selection activeCell="C159" sqref="C159"/>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2026-07-25T07:53:27Z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