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HiraoTaiki\Documents\GitHub\2026_summer\進捗\"/>
    </mc:Choice>
  </mc:AlternateContent>
  <xr:revisionPtr revIDLastSave="0" documentId="13_ncr:1_{3804532E-2741-4B31-9899-99124AC7BBAF}" xr6:coauthVersionLast="47" xr6:coauthVersionMax="47" xr10:uidLastSave="{00000000-0000-0000-0000-000000000000}"/>
  <bookViews>
    <workbookView xWindow="4290" yWindow="480" windowWidth="21225" windowHeight="1432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<sst xmlns="http://schemas.openxmlformats.org/spreadsheetml/2006/main" count="573" uniqueCount="277">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</sst>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421</v>
      </c>
      <c r="D5" s="3">
        <f ca="1" xml:space="preserve"> C4 / C5</f>
        <v>1.4251781472684086E-2</v>
      </c>
    </row>
    <row r="6" spans="2:5">
      <c r="B6" s="7" t="s">
        <v>9</v>
      </c>
      <c r="C6" s="1">
        <f>DATE(2024,11,7)</f>
        <v>45603</v>
      </c>
    </row>
    <row r="7" spans="2:5">
      <c r="B7" s="8" t="s">
        <v>11</v>
      </c>
      <c r="C7" s="1">
        <f ca="1">TODAY()</f>
        <v>46191</v>
      </c>
    </row>
    <row r="9" spans="2:5">
      <c r="D9" t="s">
        <v>12</v>
      </c>
      <c r="E9" t="s">
        <v>13</v>
      </c>
    </row>
    <row r="10" spans="2:5">
      <c r="B10" s="4" t="s">
        <v>15</v>
      </c>
      <c r="C10" s="1">
        <f>DATE(2024,12,20)</f>
        <v>45646</v>
      </c>
      <c r="D10" s="2">
        <f ca="1">NETWORKDAYS(TODAY(),C10)</f>
        <v>-390</v>
      </c>
      <c r="E10" s="3">
        <f ca="1">($C$3 - $C$4) / D10</f>
        <v>-0.22051282051282051</v>
      </c>
    </row>
    <row r="11" spans="2:5">
      <c r="B11" s="9" t="s">
        <v>16</v>
      </c>
      <c r="C11" s="1">
        <f>DATE(2025,1,17)</f>
        <v>45674</v>
      </c>
      <c r="D11" s="2">
        <f ca="1">NETWORKDAYS(TODAY(),C11)</f>
        <v>-370</v>
      </c>
      <c r="E11" s="3">
        <f ca="1">($C$3 - $C$4) / D11</f>
        <v>-0.23243243243243245</v>
      </c>
    </row>
    <row r="12" spans="2:5">
      <c r="B12" s="6" t="s">
        <v>17</v>
      </c>
      <c r="C12" s="1">
        <f>DATE(2025,2,3)</f>
        <v>45691</v>
      </c>
      <c r="D12" s="2">
        <f ca="1">NETWORKDAYS(TODAY(),C12)</f>
        <v>-359</v>
      </c>
      <c r="E12" s="3">
        <f ca="1">($C$3 - $C$4) / D12</f>
        <v>-0.23955431754874651</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9"/>
  <sheetViews>
    <sheetView tabSelected="1" workbookViewId="0">
      <selection activeCell="C9" sqref="C9"/>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2026-06-18T09:58:33Z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