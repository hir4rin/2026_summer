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iraoTaiki\Documents\GitHub\2026_summer\進捗\"/>
    </mc:Choice>
  </mc:AlternateContent>
  <xr:revisionPtr revIDLastSave="0" documentId="13_ncr:1_{8BFB23BF-7316-4C78-A4E5-945E35A112A5}" xr6:coauthVersionLast="47" xr6:coauthVersionMax="47" xr10:uidLastSave="{00000000-0000-0000-0000-000000000000}"/>
  <bookViews>
    <workbookView xWindow="645" yWindow="465" windowWidth="24075" windowHeight="14400" firstSheet="1" activeTab="3" xr2:uid="{00000000-000D-0000-FFFF-FFFF00000000}"/>
  </bookViews>
  <sheets>
    <sheet name="1125_元データ" sheetId="4" r:id="rId1"/>
    <sheet name="概要" sheetId="5" r:id="rId2"/>
    <sheet name="作業工数見積もり" sheetId="1" r:id="rId3"/>
    <sheet name="日記" sheetId="12" r:id="rId4"/>
    <sheet name="メモ" sheetId="9" r:id="rId5"/>
    <sheet name="カレンダー" sheetId="6" r:id="rId6"/>
    <sheet name="雑用" sheetId="10" r:id="rId7"/>
  </sheets>
  <definedNames>
    <definedName name="_xlnm._FilterDatabase" localSheetId="0" hidden="1">'1125_元データ'!$B$2:$G$106</definedName>
    <definedName name="_xlnm._FilterDatabase" localSheetId="2" hidden="1">作業工数見積もり!$B$2:$G$62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J3" i="1" l="1"/>
  <c r="E12" i="5"/>
  <c r="K4" i="4"/>
  <c r="L4" i="4" s="1"/>
  <c r="D5" i="5"/>
  <c r="E10" i="5"/>
  <c r="E11" i="5"/>
  <c r="M10" i="4"/>
  <c r="M9" i="4"/>
  <c r="M11" i="4"/>
</calcChain>
</file>

<file path=xl/sharedStrings.xml><?xml version="1.0" encoding="utf-8"?>
<sst xmlns="http://schemas.openxmlformats.org/spreadsheetml/2006/main" count="753" uniqueCount="255">
  <si>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</si>
  <si>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</si>
  <si>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</si>
  <si>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</si>
  <si>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</si>
  <si>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</si>
  <si>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</si>
  <si>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</si>
  <si>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</si>
  <si>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</si>
  <si>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</si>
  <si>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</si>
  <si>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</si>
  <si>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</si>
  <si>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</si>
  <si>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</si>
  <si>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</si>
  <si>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</si>
  <si>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</si>
  <si>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</si>
  <si>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</si>
  <si>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</si>
  <si>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</si>
  <si>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</si>
  <si>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</si>
  <si>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</si>
  <si>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</si>
  <si>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</si>
  <si>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</si>
  <si>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</si>
  <si>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</si>
  <si>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</si>
  <si>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</si>
  <si>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</si>
  <si>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</si>
  <si>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</si>
  <si>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</si>
  <si>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</si>
  <si>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</si>
  <si>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</si>
  <si>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</si>
  <si>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</si>
  <si>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</si>
  <si>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</si>
  <si>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</si>
  <si>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</si>
  <si>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</si>
  <si>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</si>
  <si>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</si>
  <si>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</si>
  <si>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</si>
  <si>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</si>
  <si>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</si>
  <si>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</si>
  <si>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</si>
  <si>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</si>
  <si>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</si>
  <si>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</si>
  <si>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</si>
  <si>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</si>
  <si>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</si>
  <si>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</si>
  <si>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</si>
  <si>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</si>
  <si>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</si>
  <si>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</si>
  <si>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</si>
  <si>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</si>
  <si>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</si>
  <si>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</si>
  <si>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</si>
  <si>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</si>
  <si>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</si>
  <si>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</si>
  <si>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</si>
  <si>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</si>
  <si>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</si>
  <si>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</si>
  <si>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</si>
  <si>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</si>
  <si>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</si>
  <si>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</si>
  <si>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</si>
  <si>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</si>
  <si>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</si>
  <si>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</si>
  <si>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</si>
  <si>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</si>
  <si>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</si>
  <si>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</si>
  <si>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</si>
  <si>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</si>
  <si>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</si>
  <si>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</si>
  <si>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</si>
  <si>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</si>
  <si>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</si>
  <si>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</si>
  <si>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</si>
  <si>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</si>
  <si>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</si>
  <si>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</si>
  <si>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</si>
  <si>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</si>
  <si>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</si>
  <si>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</si>
  <si>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</si>
  <si>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</si>
  <si>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</si>
  <si>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</si>
  <si>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</si>
  <si>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</si>
  <si>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</si>
  <si>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</si>
  <si>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</si>
  <si>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</si>
  <si>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</si>
  <si>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</si>
  <si>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</si>
  <si>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</si>
  <si>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</si>
  <si>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</si>
  <si>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</si>
  <si>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</si>
  <si>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</si>
  <si>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</si>
  <si>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</si>
  <si>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</si>
  <si>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</si>
  <si>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</si>
  <si>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</si>
  <si>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</si>
  <si>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</si>
  <si>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</si>
  <si>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</si>
  <si>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</si>
  <si>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</si>
  <si>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</si>
  <si>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</si>
  <si>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</si>
  <si>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</si>
  <si>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</si>
  <si>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</si>
  <si>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</si>
  <si>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</si>
  <si>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</si>
  <si>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</si>
  <si>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</si>
  <si>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</si>
  <si>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</si>
  <si>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</si>
  <si>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</si>
  <si>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</si>
  <si>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</si>
  <si>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</si>
  <si>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</si>
  <si>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</si>
  <si>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</si>
  <si>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</si>
  <si>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</si>
  <si>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</si>
  <si>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</si>
  <si>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</si>
  <si>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</si>
  <si>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</si>
  <si>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</si>
  <si>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</si>
  <si>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</si>
  <si>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</si>
  <si>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</si>
  <si>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</si>
  <si>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</si>
  <si>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</si>
  <si>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</si>
  <si>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</si>
  <si>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</si>
  <si>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</si>
  <si>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</si>
  <si>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</si>
  <si>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</si>
  <si>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</si>
  <si>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</si>
  <si>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</si>
  <si>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</si>
  <si>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</si>
  <si>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</si>
  <si>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</si>
  <si>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スキル</t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</si>
  <si>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</si>
  <si>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</si>
  <si>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</si>
  <si>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</si>
  <si>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</si>
  <si>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</si>
  <si>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</si>
  <si>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・Parry</t>
    <phoneticPr fontId="1"/>
  </si>
  <si>
    <t>・Dash</t>
    <phoneticPr fontId="1"/>
  </si>
  <si>
    <t>パリィ</t>
    <phoneticPr fontId="1"/>
  </si>
  <si>
    <t>ジャスト回避</t>
    <rPh sb="4" eb="6">
      <t>カイヒ</t>
    </rPh>
    <phoneticPr fontId="1"/>
  </si>
  <si>
    <t>ジャストパリィ反撃</t>
    <rPh sb="7" eb="9">
      <t>ハンゲキ</t>
    </rPh>
    <phoneticPr fontId="1"/>
  </si>
  <si>
    <t>ジャスト回避反撃</t>
    <rPh sb="4" eb="6">
      <t>カイヒ</t>
    </rPh>
    <rPh sb="6" eb="8">
      <t>ハンゲキ</t>
    </rPh>
    <phoneticPr fontId="1"/>
  </si>
  <si>
    <t>ジャストパリィ</t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</si>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</sst>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0" fillId="13" borderId="3" xfId="0" applyFill="1" applyBorder="1"/>
    <xf numFmtId="0" fontId="5" fillId="14" borderId="3" xfId="0" applyFont="1" applyFill="1" applyBorder="1"/>
    <xf numFmtId="0" fontId="5" fillId="14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5" borderId="3" xfId="0" applyFill="1" applyBorder="1"/>
    <xf numFmtId="0" fontId="0" fillId="16" borderId="3" xfId="0" applyFill="1" applyBorder="1"/>
    <xf numFmtId="0" fontId="0" fillId="8" borderId="3" xfId="0" applyFill="1" applyBorder="1"/>
    <xf numFmtId="0" fontId="0" fillId="17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1" borderId="3" xfId="0" applyFill="1" applyBorder="1"/>
    <xf numFmtId="56" fontId="0" fillId="0" borderId="3" xfId="0" applyNumberFormat="1" applyBorder="1"/>
    <xf numFmtId="0" fontId="2" fillId="12" borderId="3" xfId="0" applyFont="1" applyFill="1" applyBorder="1" applyAlignment="1">
      <alignment horizontal="center" vertical="center"/>
    </xf>
    <xf numFmtId="0" fontId="2" fillId="22" borderId="3" xfId="0" applyFont="1" applyFill="1" applyBorder="1"/>
    <xf numFmtId="0" fontId="2" fillId="23" borderId="3" xfId="0" applyFont="1" applyFill="1" applyBorder="1"/>
    <xf numFmtId="0" fontId="2" fillId="18" borderId="3" xfId="0" applyFont="1" applyFill="1" applyBorder="1"/>
    <xf numFmtId="0" fontId="0" fillId="12" borderId="3" xfId="1" applyNumberFormat="1" applyFont="1" applyFill="1" applyBorder="1" applyAlignment="1"/>
    <xf numFmtId="0" fontId="0" fillId="3" borderId="3" xfId="0" applyFill="1" applyBorder="1"/>
    <xf numFmtId="0" fontId="0" fillId="2" borderId="3" xfId="0" applyFill="1" applyBorder="1"/>
    <xf numFmtId="0" fontId="0" fillId="12" borderId="0" xfId="0" applyFill="1"/>
    <xf numFmtId="0" fontId="7" fillId="9" borderId="3" xfId="0" applyFont="1" applyFill="1" applyBorder="1"/>
    <xf numFmtId="0" fontId="0" fillId="24" borderId="3" xfId="0" applyFill="1" applyBorder="1"/>
    <xf numFmtId="0" fontId="0" fillId="3" borderId="0" xfId="0" applyFill="1"/>
    <xf numFmtId="0" fontId="0" fillId="24" borderId="0" xfId="0" applyFill="1"/>
    <xf numFmtId="0" fontId="0" fillId="18" borderId="3" xfId="0" applyFill="1" applyBorder="1"/>
    <xf numFmtId="0" fontId="0" fillId="25" borderId="3" xfId="0" applyFill="1" applyBorder="1"/>
    <xf numFmtId="0" fontId="0" fillId="26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403</v>
      </c>
      <c r="L4" s="3">
        <f ca="1" xml:space="preserve"> K3 / K4</f>
        <v>6.5756823821339946E-2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46167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-372</v>
      </c>
      <c r="M9" s="3">
        <f ca="1">($K$2 - $K$3) / L9</f>
        <v>-0.24731182795698925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-352</v>
      </c>
      <c r="M10" s="3">
        <f ca="1">($K$2 - $K$3) / L10</f>
        <v>-0.26136363636363635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-341</v>
      </c>
      <c r="M11" s="3">
        <f ca="1">($K$2 - $K$3) / L11</f>
        <v>-0.26979472140762462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SUM(作業工数見積もり!E3:E91)</f>
        <v>92</v>
      </c>
    </row>
    <row r="4" spans="2:5">
      <c r="B4" s="7" t="s">
        <v>10</v>
      </c>
      <c r="C4">
        <f>SUMIF(作業工数見積もり!G3:G44,"完了",作業工数見積もり!E3:E44)</f>
        <v>6</v>
      </c>
      <c r="D4" t="s">
        <v>11</v>
      </c>
    </row>
    <row r="5" spans="2:5">
      <c r="B5" s="8" t="s">
        <v>13</v>
      </c>
      <c r="C5" s="2">
        <f ca="1">NETWORKDAYS(C6,C7)</f>
        <v>403</v>
      </c>
      <c r="D5" s="3">
        <f ca="1" xml:space="preserve"> C4 / C5</f>
        <v>1.488833746898263E-2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46167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-372</v>
      </c>
      <c r="E10" s="3">
        <f ca="1">($C$3 - $C$4) / D10</f>
        <v>-0.23118279569892472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-352</v>
      </c>
      <c r="E11" s="3">
        <f ca="1">($C$3 - $C$4) / D11</f>
        <v>-0.24431818181818182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-341</v>
      </c>
      <c r="E12" s="3">
        <f ca="1">($C$3 - $C$4) / D12</f>
        <v>-0.25219941348973607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6">
        <v>45631</v>
      </c>
    </row>
    <row r="25" spans="2:4">
      <c r="B25" s="21" t="s">
        <v>1</v>
      </c>
      <c r="C25" s="36">
        <v>45662</v>
      </c>
    </row>
    <row r="26" spans="2:4">
      <c r="B26" s="21" t="s">
        <v>127</v>
      </c>
      <c r="C26" s="36">
        <v>45677</v>
      </c>
    </row>
    <row r="27" spans="2:4">
      <c r="B27" s="21" t="s">
        <v>128</v>
      </c>
      <c r="C27" s="36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"/>
  <sheetViews>
    <sheetView topLeftCell="A7" zoomScale="70" zoomScaleNormal="70" workbookViewId="0">
      <selection activeCell="B28" sqref="B28"/>
    </sheetView>
  </sheetViews>
  <sheetFormatPr defaultRowHeight="18.75" outlineLevelRow="1"/>
  <cols>
    <col min="1" max="1" width="69.625" style="21" bestFit="1" customWidth="1"/>
    <col min="2" max="2" width="42.625" style="21" bestFit="1" customWidth="1"/>
    <col min="3" max="3" width="15.375" style="28" bestFit="1" customWidth="1"/>
    <col min="4" max="4" width="19.25" style="28" bestFit="1" customWidth="1"/>
    <col min="5" max="6" width="17.125" style="28" bestFit="1" customWidth="1"/>
    <col min="7" max="7" width="19.25" style="28" bestFit="1" customWidth="1"/>
    <col min="8" max="8" width="9" style="21"/>
    <col min="9" max="9" width="18.125" style="21" bestFit="1" customWidth="1"/>
    <col min="10" max="11" width="11.5" style="21" bestFit="1" customWidth="1"/>
    <col min="12" max="12" width="9.5" style="21" bestFit="1" customWidth="1"/>
    <col min="13" max="14" width="9" style="21"/>
    <col min="16" max="16384" width="9" style="21"/>
  </cols>
  <sheetData>
    <row r="1" spans="1:12">
      <c r="A1" s="21" t="s">
        <v>142</v>
      </c>
      <c r="B1" s="21" t="s">
        <v>146</v>
      </c>
    </row>
    <row r="2" spans="1:12">
      <c r="A2" s="26" t="s">
        <v>129</v>
      </c>
      <c r="B2" s="26" t="s">
        <v>130</v>
      </c>
      <c r="C2" s="27" t="s">
        <v>2</v>
      </c>
      <c r="D2" s="27" t="s">
        <v>3</v>
      </c>
      <c r="E2" s="27" t="s">
        <v>131</v>
      </c>
      <c r="F2" s="27" t="s">
        <v>5</v>
      </c>
      <c r="G2" s="27" t="s">
        <v>132</v>
      </c>
      <c r="J2" s="21" t="s">
        <v>171</v>
      </c>
      <c r="K2" s="21" t="s">
        <v>172</v>
      </c>
      <c r="L2" s="21" t="s">
        <v>170</v>
      </c>
    </row>
    <row r="3" spans="1:12">
      <c r="A3" s="29" t="s">
        <v>133</v>
      </c>
      <c r="B3" s="21" t="s">
        <v>154</v>
      </c>
      <c r="C3" s="28" t="s">
        <v>9</v>
      </c>
      <c r="D3" s="28" t="s">
        <v>34</v>
      </c>
      <c r="E3" s="28">
        <v>1</v>
      </c>
      <c r="F3" s="28">
        <v>1</v>
      </c>
      <c r="G3" s="28" t="s">
        <v>137</v>
      </c>
      <c r="I3" s="37" t="s">
        <v>173</v>
      </c>
      <c r="J3" s="21">
        <f ca="1">SUM(J4,J5,J6)</f>
        <v>87</v>
      </c>
      <c r="K3" s="21">
        <f>SUMIFS(E3:E61,G3:G61,"未着手")</f>
        <v>80</v>
      </c>
      <c r="L3" s="21">
        <f>SUM(F3:F61)</f>
        <v>29</v>
      </c>
    </row>
    <row r="4" spans="1:12">
      <c r="A4" s="29" t="s">
        <v>133</v>
      </c>
      <c r="B4" s="21" t="s">
        <v>155</v>
      </c>
      <c r="C4" s="28" t="s">
        <v>25</v>
      </c>
      <c r="D4" s="28" t="s">
        <v>18</v>
      </c>
      <c r="E4" s="28">
        <v>0.5</v>
      </c>
      <c r="G4" s="28" t="s">
        <v>137</v>
      </c>
      <c r="I4" s="38" t="s">
        <v>126</v>
      </c>
      <c r="J4" s="41">
        <f ca="1">SUMIF(D3:D59,I4,E3:E58)</f>
        <v>85.5</v>
      </c>
      <c r="K4" s="21">
        <f>SUMIFS($E$3:$E$61,$G$3:$G$61,"未着手",$D$3:$D$61,I4)</f>
        <v>78.5</v>
      </c>
      <c r="L4" s="21">
        <f>SUMIFS(F3:F61,D3:D61,I4)</f>
        <v>29</v>
      </c>
    </row>
    <row r="5" spans="1:12">
      <c r="A5" s="29" t="s">
        <v>133</v>
      </c>
      <c r="B5" s="21" t="s">
        <v>156</v>
      </c>
      <c r="C5" s="28" t="s">
        <v>25</v>
      </c>
      <c r="D5" s="28" t="s">
        <v>18</v>
      </c>
      <c r="E5" s="28">
        <v>0.5</v>
      </c>
      <c r="G5" s="28" t="s">
        <v>137</v>
      </c>
      <c r="I5" s="39" t="s">
        <v>1</v>
      </c>
      <c r="J5" s="41">
        <f ca="1">SUMIF(D4:D61,I5,E4:E59)</f>
        <v>1.5</v>
      </c>
      <c r="K5" s="21">
        <f>SUMIFS($E$3:$E$61,$G$3:$G$61,"未着手",$D$3:$D$61,I5)</f>
        <v>1.5</v>
      </c>
      <c r="L5" s="21">
        <f>SUMIFS(F4:F62,D4:D62,I5)</f>
        <v>0</v>
      </c>
    </row>
    <row r="6" spans="1:12">
      <c r="A6" s="29" t="s">
        <v>133</v>
      </c>
      <c r="B6" s="21" t="s">
        <v>134</v>
      </c>
      <c r="C6" s="28" t="s">
        <v>25</v>
      </c>
      <c r="D6" s="28" t="s">
        <v>18</v>
      </c>
      <c r="E6" s="28">
        <v>0.5</v>
      </c>
      <c r="G6" s="28" t="s">
        <v>137</v>
      </c>
      <c r="I6" s="40" t="s">
        <v>127</v>
      </c>
      <c r="J6" s="41">
        <f ca="1">SUMIF(D5:D62,I6,E5:E61)</f>
        <v>0</v>
      </c>
      <c r="K6" s="21">
        <f>SUMIFS($E$3:$E$61,$G$3:$G$61,"未着手",$D$3:$D$61,I6)</f>
        <v>0</v>
      </c>
      <c r="L6" s="21">
        <f>SUMIFS(F5:F62,D5:D62,I6)</f>
        <v>0</v>
      </c>
    </row>
    <row r="7" spans="1:12">
      <c r="A7" s="30" t="s">
        <v>135</v>
      </c>
      <c r="B7" s="21" t="s">
        <v>152</v>
      </c>
      <c r="C7" s="28" t="s">
        <v>9</v>
      </c>
      <c r="D7" s="28" t="s">
        <v>34</v>
      </c>
      <c r="E7" s="28">
        <v>0.5</v>
      </c>
      <c r="F7" s="28">
        <v>2</v>
      </c>
      <c r="G7" s="28" t="s">
        <v>137</v>
      </c>
      <c r="I7" s="37" t="s">
        <v>169</v>
      </c>
      <c r="J7" s="21">
        <f>COUNTIF(G3:G59,"作業中")</f>
        <v>0</v>
      </c>
    </row>
    <row r="8" spans="1:12">
      <c r="A8" s="30" t="s">
        <v>135</v>
      </c>
      <c r="B8" s="21" t="s">
        <v>157</v>
      </c>
      <c r="C8" s="28" t="s">
        <v>9</v>
      </c>
      <c r="D8" s="28" t="s">
        <v>34</v>
      </c>
      <c r="E8" s="28">
        <v>2</v>
      </c>
      <c r="F8" s="28">
        <v>3</v>
      </c>
      <c r="G8" s="28" t="s">
        <v>137</v>
      </c>
    </row>
    <row r="9" spans="1:12">
      <c r="A9" s="30" t="s">
        <v>135</v>
      </c>
      <c r="B9" s="21" t="s">
        <v>185</v>
      </c>
      <c r="C9" s="28" t="s">
        <v>9</v>
      </c>
      <c r="D9" s="28" t="s">
        <v>34</v>
      </c>
      <c r="G9" s="28" t="s">
        <v>137</v>
      </c>
    </row>
    <row r="10" spans="1:12">
      <c r="A10" s="30" t="s">
        <v>135</v>
      </c>
      <c r="B10" s="21" t="s">
        <v>186</v>
      </c>
      <c r="C10" s="28" t="s">
        <v>9</v>
      </c>
      <c r="D10" s="28" t="s">
        <v>34</v>
      </c>
      <c r="G10" s="28" t="s">
        <v>137</v>
      </c>
    </row>
    <row r="11" spans="1:12">
      <c r="A11" s="31" t="s">
        <v>143</v>
      </c>
      <c r="B11" s="51" t="s">
        <v>191</v>
      </c>
      <c r="C11" s="28" t="s">
        <v>9</v>
      </c>
      <c r="D11" s="28" t="s">
        <v>34</v>
      </c>
      <c r="G11" s="28" t="s">
        <v>137</v>
      </c>
    </row>
    <row r="12" spans="1:12" outlineLevel="1">
      <c r="A12" s="31" t="s">
        <v>143</v>
      </c>
      <c r="B12" s="21" t="s">
        <v>141</v>
      </c>
      <c r="C12" s="28" t="s">
        <v>9</v>
      </c>
      <c r="D12" s="28" t="s">
        <v>34</v>
      </c>
      <c r="E12" s="28">
        <v>1</v>
      </c>
      <c r="F12" s="28">
        <v>1</v>
      </c>
      <c r="G12" s="28" t="s">
        <v>168</v>
      </c>
    </row>
    <row r="13" spans="1:12" outlineLevel="1">
      <c r="A13" s="31" t="s">
        <v>143</v>
      </c>
      <c r="B13" s="21" t="s">
        <v>167</v>
      </c>
      <c r="C13" s="28" t="s">
        <v>9</v>
      </c>
      <c r="D13" s="28" t="s">
        <v>34</v>
      </c>
      <c r="E13" s="28">
        <v>1</v>
      </c>
      <c r="F13" s="28">
        <v>1</v>
      </c>
      <c r="G13" s="28" t="s">
        <v>168</v>
      </c>
    </row>
    <row r="14" spans="1:12" outlineLevel="1">
      <c r="A14" s="31"/>
      <c r="B14" s="21" t="s">
        <v>245</v>
      </c>
    </row>
    <row r="15" spans="1:12" outlineLevel="1">
      <c r="A15" s="31"/>
      <c r="B15" s="21" t="s">
        <v>246</v>
      </c>
    </row>
    <row r="16" spans="1:12" outlineLevel="1">
      <c r="A16" s="31"/>
      <c r="B16" s="21" t="s">
        <v>247</v>
      </c>
    </row>
    <row r="17" spans="1:7">
      <c r="A17" s="31" t="s">
        <v>143</v>
      </c>
      <c r="B17" s="51" t="s">
        <v>192</v>
      </c>
      <c r="C17" s="28" t="s">
        <v>9</v>
      </c>
      <c r="D17" s="28" t="s">
        <v>34</v>
      </c>
      <c r="G17" s="28" t="s">
        <v>137</v>
      </c>
    </row>
    <row r="18" spans="1:7" outlineLevel="1">
      <c r="A18" s="31" t="s">
        <v>143</v>
      </c>
      <c r="B18" s="21" t="s">
        <v>181</v>
      </c>
      <c r="C18" s="28" t="s">
        <v>9</v>
      </c>
      <c r="D18" s="28" t="s">
        <v>34</v>
      </c>
      <c r="E18" s="28">
        <v>1</v>
      </c>
      <c r="F18" s="28">
        <v>1</v>
      </c>
      <c r="G18" s="28" t="s">
        <v>168</v>
      </c>
    </row>
    <row r="19" spans="1:7" outlineLevel="1">
      <c r="A19" s="31" t="s">
        <v>143</v>
      </c>
      <c r="B19" s="21" t="s">
        <v>182</v>
      </c>
      <c r="C19" s="28" t="s">
        <v>9</v>
      </c>
      <c r="D19" s="28" t="s">
        <v>34</v>
      </c>
      <c r="E19" s="28">
        <v>1</v>
      </c>
      <c r="F19" s="28">
        <v>1</v>
      </c>
      <c r="G19" s="28" t="s">
        <v>168</v>
      </c>
    </row>
    <row r="20" spans="1:7" outlineLevel="1">
      <c r="A20" s="31" t="s">
        <v>143</v>
      </c>
      <c r="B20" s="21" t="s">
        <v>183</v>
      </c>
      <c r="C20" s="28" t="s">
        <v>9</v>
      </c>
      <c r="D20" s="28" t="s">
        <v>34</v>
      </c>
      <c r="E20" s="28">
        <v>1</v>
      </c>
      <c r="F20" s="28">
        <v>1</v>
      </c>
      <c r="G20" s="28" t="s">
        <v>168</v>
      </c>
    </row>
    <row r="21" spans="1:7" outlineLevel="1">
      <c r="A21" s="31" t="s">
        <v>143</v>
      </c>
      <c r="C21" s="28" t="s">
        <v>9</v>
      </c>
      <c r="D21" s="28" t="s">
        <v>34</v>
      </c>
      <c r="G21" s="28" t="s">
        <v>137</v>
      </c>
    </row>
    <row r="22" spans="1:7">
      <c r="A22" s="31" t="s">
        <v>143</v>
      </c>
      <c r="B22" s="51" t="s">
        <v>193</v>
      </c>
      <c r="C22" s="28" t="s">
        <v>9</v>
      </c>
      <c r="D22" s="28" t="s">
        <v>34</v>
      </c>
      <c r="G22" s="28" t="s">
        <v>137</v>
      </c>
    </row>
    <row r="23" spans="1:7" outlineLevel="1">
      <c r="A23" s="31" t="s">
        <v>143</v>
      </c>
      <c r="B23" s="21" t="s">
        <v>187</v>
      </c>
      <c r="C23" s="28" t="s">
        <v>9</v>
      </c>
      <c r="D23" s="28" t="s">
        <v>34</v>
      </c>
      <c r="E23" s="28">
        <v>3</v>
      </c>
      <c r="G23" s="28" t="s">
        <v>137</v>
      </c>
    </row>
    <row r="24" spans="1:7">
      <c r="A24" s="31" t="s">
        <v>143</v>
      </c>
      <c r="B24" s="51" t="s">
        <v>194</v>
      </c>
      <c r="C24" s="28" t="s">
        <v>9</v>
      </c>
      <c r="D24" s="28" t="s">
        <v>34</v>
      </c>
      <c r="G24" s="28" t="s">
        <v>137</v>
      </c>
    </row>
    <row r="25" spans="1:7" outlineLevel="1">
      <c r="A25" s="31" t="s">
        <v>143</v>
      </c>
      <c r="B25" s="21" t="s">
        <v>188</v>
      </c>
      <c r="C25" s="28" t="s">
        <v>9</v>
      </c>
      <c r="D25" s="28" t="s">
        <v>34</v>
      </c>
      <c r="E25" s="28">
        <v>24</v>
      </c>
      <c r="G25" s="28" t="s">
        <v>137</v>
      </c>
    </row>
    <row r="26" spans="1:7">
      <c r="A26" s="31" t="s">
        <v>143</v>
      </c>
      <c r="B26" s="51" t="s">
        <v>196</v>
      </c>
      <c r="C26" s="28" t="s">
        <v>9</v>
      </c>
      <c r="D26" s="28" t="s">
        <v>34</v>
      </c>
      <c r="G26" s="28" t="s">
        <v>137</v>
      </c>
    </row>
    <row r="27" spans="1:7" outlineLevel="1">
      <c r="A27" s="31" t="s">
        <v>143</v>
      </c>
      <c r="B27" s="21" t="s">
        <v>189</v>
      </c>
      <c r="C27" s="28" t="s">
        <v>9</v>
      </c>
      <c r="D27" s="28" t="s">
        <v>34</v>
      </c>
      <c r="E27" s="28">
        <v>1</v>
      </c>
      <c r="F27" s="28">
        <v>1</v>
      </c>
      <c r="G27" s="28" t="s">
        <v>168</v>
      </c>
    </row>
    <row r="28" spans="1:7" outlineLevel="1">
      <c r="A28" s="31" t="s">
        <v>143</v>
      </c>
      <c r="B28" s="21" t="s">
        <v>202</v>
      </c>
      <c r="C28" s="28" t="s">
        <v>9</v>
      </c>
      <c r="D28" s="28" t="s">
        <v>34</v>
      </c>
      <c r="E28" s="28">
        <v>2</v>
      </c>
      <c r="G28" s="28" t="s">
        <v>137</v>
      </c>
    </row>
    <row r="29" spans="1:7" outlineLevel="1">
      <c r="A29" s="31" t="s">
        <v>143</v>
      </c>
      <c r="B29" s="21" t="s">
        <v>198</v>
      </c>
      <c r="C29" s="28" t="s">
        <v>9</v>
      </c>
      <c r="D29" s="28" t="s">
        <v>34</v>
      </c>
      <c r="E29" s="28">
        <v>4</v>
      </c>
      <c r="G29" s="28" t="s">
        <v>137</v>
      </c>
    </row>
    <row r="30" spans="1:7" outlineLevel="1">
      <c r="A30" s="31" t="s">
        <v>143</v>
      </c>
      <c r="B30" s="21" t="s">
        <v>200</v>
      </c>
      <c r="C30" s="28" t="s">
        <v>9</v>
      </c>
      <c r="D30" s="28" t="s">
        <v>34</v>
      </c>
      <c r="E30" s="28">
        <v>4</v>
      </c>
      <c r="G30" s="28" t="s">
        <v>137</v>
      </c>
    </row>
    <row r="31" spans="1:7">
      <c r="A31" s="31" t="s">
        <v>143</v>
      </c>
      <c r="B31" s="51" t="s">
        <v>195</v>
      </c>
      <c r="C31" s="28" t="s">
        <v>9</v>
      </c>
      <c r="D31" s="28" t="s">
        <v>34</v>
      </c>
      <c r="G31" s="28" t="s">
        <v>137</v>
      </c>
    </row>
    <row r="32" spans="1:7" outlineLevel="1">
      <c r="A32" s="31" t="s">
        <v>143</v>
      </c>
      <c r="B32" s="21" t="s">
        <v>197</v>
      </c>
      <c r="C32" s="28" t="s">
        <v>9</v>
      </c>
      <c r="D32" s="28" t="s">
        <v>34</v>
      </c>
      <c r="G32" s="28" t="s">
        <v>137</v>
      </c>
    </row>
    <row r="33" spans="1:7" outlineLevel="1">
      <c r="A33" s="31" t="s">
        <v>143</v>
      </c>
      <c r="B33" s="21" t="s">
        <v>201</v>
      </c>
      <c r="C33" s="28" t="s">
        <v>9</v>
      </c>
      <c r="D33" s="28" t="s">
        <v>34</v>
      </c>
      <c r="G33" s="28" t="s">
        <v>137</v>
      </c>
    </row>
    <row r="34" spans="1:7" outlineLevel="1">
      <c r="A34" s="31" t="s">
        <v>143</v>
      </c>
      <c r="B34" s="21" t="s">
        <v>199</v>
      </c>
      <c r="C34" s="28" t="s">
        <v>9</v>
      </c>
      <c r="D34" s="28" t="s">
        <v>34</v>
      </c>
      <c r="G34" s="28" t="s">
        <v>137</v>
      </c>
    </row>
    <row r="35" spans="1:7" outlineLevel="1">
      <c r="A35" s="31" t="s">
        <v>143</v>
      </c>
      <c r="B35" s="51" t="s">
        <v>241</v>
      </c>
      <c r="C35" s="28" t="s">
        <v>9</v>
      </c>
      <c r="D35" s="28" t="s">
        <v>34</v>
      </c>
    </row>
    <row r="36" spans="1:7" outlineLevel="1">
      <c r="A36" s="31" t="s">
        <v>143</v>
      </c>
      <c r="B36" s="21" t="s">
        <v>244</v>
      </c>
      <c r="C36" s="28" t="s">
        <v>9</v>
      </c>
      <c r="D36" s="28" t="s">
        <v>34</v>
      </c>
    </row>
    <row r="37" spans="1:7" outlineLevel="1">
      <c r="A37" s="31" t="s">
        <v>143</v>
      </c>
      <c r="B37" s="51" t="s">
        <v>242</v>
      </c>
      <c r="C37" s="28" t="s">
        <v>9</v>
      </c>
      <c r="D37" s="28" t="s">
        <v>34</v>
      </c>
    </row>
    <row r="38" spans="1:7" outlineLevel="1">
      <c r="A38" s="31" t="s">
        <v>143</v>
      </c>
      <c r="B38" s="21" t="s">
        <v>243</v>
      </c>
      <c r="C38" s="28" t="s">
        <v>9</v>
      </c>
      <c r="D38" s="28" t="s">
        <v>34</v>
      </c>
    </row>
    <row r="39" spans="1:7">
      <c r="A39" s="31" t="s">
        <v>143</v>
      </c>
      <c r="B39" s="21" t="s">
        <v>184</v>
      </c>
      <c r="C39" s="28" t="s">
        <v>9</v>
      </c>
      <c r="D39" s="28" t="s">
        <v>34</v>
      </c>
      <c r="E39" s="28">
        <v>1</v>
      </c>
      <c r="F39" s="28">
        <v>4</v>
      </c>
      <c r="G39" s="28" t="s">
        <v>137</v>
      </c>
    </row>
    <row r="40" spans="1:7">
      <c r="A40" s="31" t="s">
        <v>143</v>
      </c>
      <c r="B40" s="21" t="s">
        <v>144</v>
      </c>
      <c r="C40" s="28" t="s">
        <v>9</v>
      </c>
      <c r="D40" s="28" t="s">
        <v>34</v>
      </c>
      <c r="E40" s="28">
        <v>2</v>
      </c>
      <c r="F40" s="28">
        <v>2</v>
      </c>
      <c r="G40" s="28" t="s">
        <v>137</v>
      </c>
    </row>
    <row r="41" spans="1:7">
      <c r="A41" s="31" t="s">
        <v>143</v>
      </c>
      <c r="B41" s="21" t="s">
        <v>145</v>
      </c>
      <c r="C41" s="28" t="s">
        <v>9</v>
      </c>
      <c r="D41" s="28" t="s">
        <v>34</v>
      </c>
      <c r="E41" s="28">
        <v>2</v>
      </c>
      <c r="F41" s="28">
        <v>3</v>
      </c>
      <c r="G41" s="28" t="s">
        <v>137</v>
      </c>
    </row>
    <row r="42" spans="1:7">
      <c r="A42" s="31" t="s">
        <v>143</v>
      </c>
      <c r="B42" s="21" t="s">
        <v>149</v>
      </c>
      <c r="C42" s="28" t="s">
        <v>9</v>
      </c>
      <c r="D42" s="28" t="s">
        <v>34</v>
      </c>
      <c r="E42" s="28">
        <v>8</v>
      </c>
      <c r="F42" s="28">
        <v>3</v>
      </c>
      <c r="G42" s="28" t="s">
        <v>137</v>
      </c>
    </row>
    <row r="43" spans="1:7">
      <c r="A43" s="32" t="s">
        <v>147</v>
      </c>
      <c r="B43" s="21" t="s">
        <v>220</v>
      </c>
      <c r="C43" s="28" t="s">
        <v>9</v>
      </c>
      <c r="D43" s="28" t="s">
        <v>34</v>
      </c>
      <c r="G43" s="28" t="s">
        <v>137</v>
      </c>
    </row>
    <row r="44" spans="1:7">
      <c r="A44" s="32" t="s">
        <v>147</v>
      </c>
      <c r="B44" s="51" t="s">
        <v>203</v>
      </c>
      <c r="C44" s="28" t="s">
        <v>9</v>
      </c>
      <c r="D44" s="28" t="s">
        <v>34</v>
      </c>
      <c r="E44" s="28">
        <v>0.5</v>
      </c>
      <c r="F44" s="28">
        <v>0.5</v>
      </c>
      <c r="G44" s="28" t="s">
        <v>137</v>
      </c>
    </row>
    <row r="45" spans="1:7">
      <c r="A45" s="32" t="s">
        <v>147</v>
      </c>
      <c r="B45" s="21" t="s">
        <v>141</v>
      </c>
      <c r="C45" s="28" t="s">
        <v>9</v>
      </c>
      <c r="D45" s="28" t="s">
        <v>34</v>
      </c>
      <c r="E45" s="28">
        <v>0.5</v>
      </c>
      <c r="F45" s="28">
        <v>0.5</v>
      </c>
      <c r="G45" s="28" t="s">
        <v>137</v>
      </c>
    </row>
    <row r="46" spans="1:7">
      <c r="A46" s="32" t="s">
        <v>147</v>
      </c>
      <c r="B46" s="51" t="s">
        <v>192</v>
      </c>
      <c r="C46" s="28" t="s">
        <v>9</v>
      </c>
      <c r="D46" s="28" t="s">
        <v>34</v>
      </c>
      <c r="G46" s="28" t="s">
        <v>137</v>
      </c>
    </row>
    <row r="47" spans="1:7">
      <c r="A47" s="32" t="s">
        <v>147</v>
      </c>
      <c r="B47" s="21" t="s">
        <v>190</v>
      </c>
      <c r="C47" s="28" t="s">
        <v>9</v>
      </c>
      <c r="D47" s="28" t="s">
        <v>34</v>
      </c>
      <c r="G47" s="28" t="s">
        <v>137</v>
      </c>
    </row>
    <row r="48" spans="1:7">
      <c r="A48" s="32" t="s">
        <v>147</v>
      </c>
      <c r="B48" s="51" t="s">
        <v>204</v>
      </c>
      <c r="C48" s="28" t="s">
        <v>9</v>
      </c>
      <c r="D48" s="28" t="s">
        <v>34</v>
      </c>
      <c r="G48" s="28" t="s">
        <v>137</v>
      </c>
    </row>
    <row r="49" spans="1:7">
      <c r="A49" s="32" t="s">
        <v>147</v>
      </c>
      <c r="B49" s="21" t="s">
        <v>205</v>
      </c>
      <c r="C49" s="28" t="s">
        <v>9</v>
      </c>
      <c r="D49" s="28" t="s">
        <v>34</v>
      </c>
      <c r="G49" s="28" t="s">
        <v>137</v>
      </c>
    </row>
    <row r="50" spans="1:7">
      <c r="A50" s="32" t="s">
        <v>147</v>
      </c>
      <c r="B50" s="51" t="s">
        <v>206</v>
      </c>
      <c r="C50" s="28" t="s">
        <v>9</v>
      </c>
      <c r="D50" s="28" t="s">
        <v>34</v>
      </c>
      <c r="G50" s="28" t="s">
        <v>137</v>
      </c>
    </row>
    <row r="51" spans="1:7">
      <c r="A51" s="32" t="s">
        <v>147</v>
      </c>
      <c r="B51" s="21" t="s">
        <v>153</v>
      </c>
      <c r="C51" s="28" t="s">
        <v>9</v>
      </c>
      <c r="D51" s="28" t="s">
        <v>34</v>
      </c>
      <c r="E51" s="28">
        <v>2</v>
      </c>
      <c r="G51" s="28" t="s">
        <v>137</v>
      </c>
    </row>
    <row r="52" spans="1:7">
      <c r="A52" s="32" t="s">
        <v>147</v>
      </c>
      <c r="B52" s="51" t="s">
        <v>207</v>
      </c>
      <c r="C52" s="28" t="s">
        <v>9</v>
      </c>
      <c r="D52" s="28" t="s">
        <v>34</v>
      </c>
      <c r="G52" s="28" t="s">
        <v>137</v>
      </c>
    </row>
    <row r="53" spans="1:7">
      <c r="A53" s="32" t="s">
        <v>147</v>
      </c>
      <c r="B53" s="21" t="s">
        <v>208</v>
      </c>
      <c r="C53" s="28" t="s">
        <v>9</v>
      </c>
      <c r="D53" s="28" t="s">
        <v>34</v>
      </c>
      <c r="G53" s="28" t="s">
        <v>137</v>
      </c>
    </row>
    <row r="54" spans="1:7">
      <c r="A54" s="32" t="s">
        <v>147</v>
      </c>
      <c r="B54" s="21" t="s">
        <v>148</v>
      </c>
      <c r="C54" s="28" t="s">
        <v>9</v>
      </c>
      <c r="D54" s="28" t="s">
        <v>34</v>
      </c>
      <c r="E54" s="28">
        <v>1</v>
      </c>
      <c r="F54" s="28">
        <v>3</v>
      </c>
      <c r="G54" s="28" t="s">
        <v>137</v>
      </c>
    </row>
    <row r="55" spans="1:7">
      <c r="A55" s="33" t="s">
        <v>138</v>
      </c>
      <c r="B55" s="21" t="s">
        <v>209</v>
      </c>
      <c r="C55" s="28" t="s">
        <v>9</v>
      </c>
      <c r="D55" s="28" t="s">
        <v>34</v>
      </c>
      <c r="E55" s="28">
        <v>1</v>
      </c>
      <c r="F55" s="28">
        <v>1</v>
      </c>
      <c r="G55" s="28" t="s">
        <v>168</v>
      </c>
    </row>
    <row r="56" spans="1:7">
      <c r="A56" s="33" t="s">
        <v>138</v>
      </c>
      <c r="B56" s="21" t="s">
        <v>210</v>
      </c>
      <c r="C56" s="28" t="s">
        <v>9</v>
      </c>
      <c r="D56" s="28" t="s">
        <v>34</v>
      </c>
      <c r="E56" s="28">
        <v>12</v>
      </c>
      <c r="G56" s="28" t="s">
        <v>137</v>
      </c>
    </row>
    <row r="57" spans="1:7">
      <c r="A57" s="33" t="s">
        <v>138</v>
      </c>
      <c r="B57" s="21" t="s">
        <v>211</v>
      </c>
      <c r="C57" s="28" t="s">
        <v>9</v>
      </c>
      <c r="D57" s="28" t="s">
        <v>34</v>
      </c>
      <c r="E57" s="28">
        <v>6</v>
      </c>
      <c r="G57" s="28" t="s">
        <v>137</v>
      </c>
    </row>
    <row r="58" spans="1:7">
      <c r="A58" s="33" t="s">
        <v>138</v>
      </c>
      <c r="B58" s="21" t="s">
        <v>151</v>
      </c>
      <c r="C58" s="28" t="s">
        <v>9</v>
      </c>
      <c r="D58" s="28" t="s">
        <v>34</v>
      </c>
      <c r="E58" s="28">
        <v>3</v>
      </c>
      <c r="G58" s="28" t="s">
        <v>137</v>
      </c>
    </row>
    <row r="59" spans="1:7">
      <c r="A59" s="34" t="s">
        <v>139</v>
      </c>
      <c r="B59" s="21" t="s">
        <v>212</v>
      </c>
      <c r="C59" s="28" t="s">
        <v>9</v>
      </c>
      <c r="D59" s="28" t="s">
        <v>34</v>
      </c>
      <c r="G59" s="28" t="s">
        <v>137</v>
      </c>
    </row>
    <row r="60" spans="1:7">
      <c r="A60" s="34" t="s">
        <v>139</v>
      </c>
      <c r="B60" s="21" t="s">
        <v>213</v>
      </c>
      <c r="C60" s="28" t="s">
        <v>9</v>
      </c>
      <c r="D60" s="28" t="s">
        <v>34</v>
      </c>
      <c r="G60" s="28" t="s">
        <v>137</v>
      </c>
    </row>
    <row r="61" spans="1:7">
      <c r="A61" s="35" t="s">
        <v>140</v>
      </c>
      <c r="C61" s="28" t="s">
        <v>9</v>
      </c>
      <c r="D61" s="28" t="s">
        <v>34</v>
      </c>
      <c r="G61" s="28" t="s">
        <v>137</v>
      </c>
    </row>
    <row r="62" spans="1:7">
      <c r="A62" s="21" t="s">
        <v>159</v>
      </c>
      <c r="C62" s="28" t="s">
        <v>9</v>
      </c>
      <c r="D62" s="28" t="s">
        <v>34</v>
      </c>
      <c r="G62" s="28" t="s">
        <v>137</v>
      </c>
    </row>
    <row r="63" spans="1:7">
      <c r="A63" s="25" t="s">
        <v>136</v>
      </c>
      <c r="B63" s="21" t="s">
        <v>150</v>
      </c>
      <c r="C63" s="28" t="s">
        <v>9</v>
      </c>
      <c r="D63" s="28" t="s">
        <v>34</v>
      </c>
      <c r="E63" s="28">
        <v>3</v>
      </c>
      <c r="G63" s="28" t="s">
        <v>137</v>
      </c>
    </row>
    <row r="64" spans="1:7">
      <c r="A64" s="25" t="s">
        <v>136</v>
      </c>
      <c r="B64" s="21" t="s">
        <v>158</v>
      </c>
      <c r="C64" s="28" t="s">
        <v>9</v>
      </c>
      <c r="D64" s="28" t="s">
        <v>34</v>
      </c>
      <c r="E64" s="28">
        <v>2</v>
      </c>
      <c r="F64" s="28">
        <v>1</v>
      </c>
      <c r="G64" s="28" t="s">
        <v>137</v>
      </c>
    </row>
    <row r="65" spans="1:7">
      <c r="A65" s="25" t="s">
        <v>136</v>
      </c>
      <c r="B65" s="21" t="s">
        <v>214</v>
      </c>
      <c r="C65" s="28" t="s">
        <v>9</v>
      </c>
      <c r="D65" s="28" t="s">
        <v>34</v>
      </c>
      <c r="G65" s="28" t="s">
        <v>137</v>
      </c>
    </row>
    <row r="66" spans="1:7">
      <c r="A66" s="25" t="s">
        <v>136</v>
      </c>
      <c r="B66" s="21" t="s">
        <v>215</v>
      </c>
      <c r="C66" s="28" t="s">
        <v>9</v>
      </c>
      <c r="D66" s="28" t="s">
        <v>34</v>
      </c>
      <c r="G66" s="28" t="s">
        <v>137</v>
      </c>
    </row>
    <row r="67" spans="1:7">
      <c r="A67" s="25" t="s">
        <v>136</v>
      </c>
      <c r="B67" s="21" t="s">
        <v>218</v>
      </c>
      <c r="C67" s="28" t="s">
        <v>9</v>
      </c>
      <c r="D67" s="28" t="s">
        <v>34</v>
      </c>
      <c r="G67" s="28" t="s">
        <v>137</v>
      </c>
    </row>
    <row r="68" spans="1:7">
      <c r="A68" s="25" t="s">
        <v>136</v>
      </c>
      <c r="B68" s="21" t="s">
        <v>216</v>
      </c>
      <c r="C68" s="28" t="s">
        <v>9</v>
      </c>
      <c r="D68" s="28" t="s">
        <v>34</v>
      </c>
      <c r="G68" s="28" t="s">
        <v>137</v>
      </c>
    </row>
    <row r="69" spans="1:7">
      <c r="A69" s="25" t="s">
        <v>136</v>
      </c>
      <c r="B69" s="21" t="s">
        <v>217</v>
      </c>
      <c r="C69" s="28" t="s">
        <v>9</v>
      </c>
      <c r="D69" s="28" t="s">
        <v>34</v>
      </c>
      <c r="G69" s="28" t="s">
        <v>137</v>
      </c>
    </row>
    <row r="70" spans="1:7">
      <c r="A70" s="25" t="s">
        <v>136</v>
      </c>
      <c r="B70" s="21" t="s">
        <v>219</v>
      </c>
      <c r="C70" s="28" t="s">
        <v>9</v>
      </c>
      <c r="D70" s="28" t="s">
        <v>34</v>
      </c>
      <c r="G70" s="28" t="s">
        <v>137</v>
      </c>
    </row>
  </sheetData>
  <autoFilter ref="B2:G62" xr:uid="{00000000-0001-0000-0000-000000000000}">
    <sortState xmlns:xlrd2="http://schemas.microsoft.com/office/spreadsheetml/2017/richdata2" ref="B3:G58">
      <sortCondition ref="B2:B58"/>
    </sortState>
  </autoFilter>
  <phoneticPr fontId="1"/>
  <dataValidations count="3">
    <dataValidation type="list" allowBlank="1" showInputMessage="1" showErrorMessage="1" sqref="C3:C70" xr:uid="{AF10AFEC-2E3A-4CB7-ABD8-6255C47E78C2}">
      <formula1>"S,A,B,C"</formula1>
    </dataValidation>
    <dataValidation type="list" allowBlank="1" showInputMessage="1" showErrorMessage="1" sqref="D3:D70" xr:uid="{8982FD40-CA4D-4B92-93FE-B37B6B67ACD6}">
      <formula1>"プロト,アルファ,ベータ,マスタ"</formula1>
    </dataValidation>
    <dataValidation type="list" allowBlank="1" showInputMessage="1" showErrorMessage="1" sqref="G3:G70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tabSelected="1"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228</v>
      </c>
      <c r="B1" t="s">
        <v>229</v>
      </c>
      <c r="C1" t="s">
        <v>230</v>
      </c>
    </row>
    <row r="2" spans="1:3">
      <c r="A2" s="1">
        <v>46166</v>
      </c>
      <c r="B2" t="s">
        <v>231</v>
      </c>
      <c r="C2" t="s">
        <v>232</v>
      </c>
    </row>
    <row r="3" spans="1:3">
      <c r="A3" s="1">
        <v>46167</v>
      </c>
      <c r="B3" t="s">
        <v>233</v>
      </c>
      <c r="C3" t="s">
        <v>234</v>
      </c>
    </row>
    <row r="4" spans="1:3">
      <c r="A4" s="1"/>
      <c r="C4" t="s">
        <v>253</v>
      </c>
    </row>
    <row r="5" spans="1:3">
      <c r="C5" t="s">
        <v>254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14"/>
  <sheetViews>
    <sheetView workbookViewId="0">
      <selection activeCell="B16" sqref="B16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227</v>
      </c>
      <c r="C2" t="s">
        <v>236</v>
      </c>
      <c r="D2" t="s">
        <v>237</v>
      </c>
    </row>
    <row r="3" spans="2:4">
      <c r="D3" t="s">
        <v>238</v>
      </c>
    </row>
    <row r="4" spans="2:4">
      <c r="B4" t="s">
        <v>235</v>
      </c>
      <c r="D4" t="s">
        <v>239</v>
      </c>
    </row>
    <row r="7" spans="2:4">
      <c r="B7" t="s">
        <v>240</v>
      </c>
    </row>
    <row r="9" spans="2:4">
      <c r="B9" t="s">
        <v>248</v>
      </c>
    </row>
    <row r="10" spans="2:4">
      <c r="B10" t="s">
        <v>249</v>
      </c>
    </row>
    <row r="11" spans="2:4">
      <c r="B11" t="s">
        <v>250</v>
      </c>
    </row>
    <row r="13" spans="2:4">
      <c r="B13" t="s">
        <v>251</v>
      </c>
    </row>
    <row r="14" spans="2:4">
      <c r="B14" t="s">
        <v>252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workbookViewId="0">
      <selection activeCell="J12" sqref="J12"/>
    </sheetView>
  </sheetViews>
  <sheetFormatPr defaultRowHeight="18.75"/>
  <sheetData>
    <row r="2" spans="3:16">
      <c r="O2" t="s">
        <v>179</v>
      </c>
    </row>
    <row r="3" spans="3:16">
      <c r="C3" t="s">
        <v>174</v>
      </c>
    </row>
    <row r="4" spans="3:16">
      <c r="C4" s="22" t="s">
        <v>160</v>
      </c>
      <c r="D4" s="22" t="s">
        <v>161</v>
      </c>
      <c r="E4" s="22" t="s">
        <v>162</v>
      </c>
      <c r="F4" s="22" t="s">
        <v>163</v>
      </c>
      <c r="G4" s="22" t="s">
        <v>164</v>
      </c>
      <c r="H4" s="22" t="s">
        <v>165</v>
      </c>
      <c r="I4" s="22" t="s">
        <v>166</v>
      </c>
    </row>
    <row r="5" spans="3:16">
      <c r="C5" s="22"/>
      <c r="D5" s="22"/>
      <c r="E5" s="22"/>
      <c r="F5" s="22"/>
      <c r="G5" s="22"/>
      <c r="H5" s="22">
        <v>1</v>
      </c>
      <c r="I5" s="22">
        <v>2</v>
      </c>
      <c r="M5" t="s">
        <v>180</v>
      </c>
    </row>
    <row r="6" spans="3:16">
      <c r="C6" s="21">
        <v>3</v>
      </c>
      <c r="D6" s="21">
        <v>4</v>
      </c>
      <c r="E6" s="21">
        <v>5</v>
      </c>
      <c r="F6" s="21">
        <v>6</v>
      </c>
      <c r="G6" s="21">
        <v>7</v>
      </c>
      <c r="H6" s="21">
        <v>8</v>
      </c>
      <c r="I6" s="22">
        <v>9</v>
      </c>
      <c r="K6" t="s">
        <v>126</v>
      </c>
      <c r="L6" s="43"/>
      <c r="M6">
        <v>24</v>
      </c>
    </row>
    <row r="7" spans="3:16">
      <c r="C7" s="21">
        <v>10</v>
      </c>
      <c r="D7" s="21">
        <v>11</v>
      </c>
      <c r="E7" s="21">
        <v>12</v>
      </c>
      <c r="F7" s="21">
        <v>13</v>
      </c>
      <c r="G7" s="21">
        <v>14</v>
      </c>
      <c r="H7" s="21">
        <v>15</v>
      </c>
      <c r="I7" s="22">
        <v>16</v>
      </c>
      <c r="K7" t="s">
        <v>1</v>
      </c>
      <c r="L7" s="45"/>
      <c r="M7">
        <v>24</v>
      </c>
      <c r="P7">
        <v>74</v>
      </c>
    </row>
    <row r="8" spans="3:16">
      <c r="C8" s="21">
        <v>17</v>
      </c>
      <c r="D8" s="21">
        <v>18</v>
      </c>
      <c r="E8" s="21">
        <v>19</v>
      </c>
      <c r="F8" s="21">
        <v>20</v>
      </c>
      <c r="G8" s="21">
        <v>21</v>
      </c>
      <c r="H8" s="50">
        <v>22</v>
      </c>
      <c r="I8" s="22">
        <v>23</v>
      </c>
      <c r="K8" t="s">
        <v>127</v>
      </c>
      <c r="L8" s="49"/>
      <c r="M8">
        <v>24</v>
      </c>
    </row>
    <row r="9" spans="3:16">
      <c r="C9" s="21">
        <v>24</v>
      </c>
      <c r="D9" s="21">
        <v>25</v>
      </c>
      <c r="E9" s="21">
        <v>26</v>
      </c>
      <c r="F9" s="21">
        <v>27</v>
      </c>
      <c r="G9" s="21">
        <v>28</v>
      </c>
      <c r="H9" s="21">
        <v>29</v>
      </c>
      <c r="I9" s="22">
        <v>30</v>
      </c>
      <c r="K9" t="s">
        <v>178</v>
      </c>
      <c r="L9" s="46"/>
      <c r="M9">
        <v>7</v>
      </c>
    </row>
    <row r="10" spans="3:16">
      <c r="C10" s="22">
        <v>31</v>
      </c>
    </row>
    <row r="12" spans="3:16">
      <c r="C12" t="s">
        <v>175</v>
      </c>
    </row>
    <row r="13" spans="3:16">
      <c r="C13" s="22" t="s">
        <v>160</v>
      </c>
      <c r="D13" s="22" t="s">
        <v>161</v>
      </c>
      <c r="E13" s="22" t="s">
        <v>162</v>
      </c>
      <c r="F13" s="22" t="s">
        <v>163</v>
      </c>
      <c r="G13" s="22" t="s">
        <v>164</v>
      </c>
      <c r="H13" s="22" t="s">
        <v>165</v>
      </c>
      <c r="I13" s="22" t="s">
        <v>166</v>
      </c>
    </row>
    <row r="14" spans="3:16">
      <c r="C14" s="21"/>
      <c r="D14" s="21">
        <v>1</v>
      </c>
      <c r="E14" s="21">
        <v>2</v>
      </c>
      <c r="F14" s="21">
        <v>3</v>
      </c>
      <c r="G14" s="21">
        <v>4</v>
      </c>
      <c r="H14" s="21">
        <v>5</v>
      </c>
      <c r="I14" s="21">
        <v>6</v>
      </c>
    </row>
    <row r="15" spans="3:16">
      <c r="C15" s="21">
        <v>7</v>
      </c>
      <c r="D15" s="21">
        <v>8</v>
      </c>
      <c r="E15" s="21">
        <v>9</v>
      </c>
      <c r="F15" s="21">
        <v>10</v>
      </c>
      <c r="G15" s="42">
        <v>11</v>
      </c>
      <c r="H15" s="43">
        <v>12</v>
      </c>
      <c r="I15" s="43">
        <v>13</v>
      </c>
    </row>
    <row r="16" spans="3:16">
      <c r="C16" s="43">
        <v>14</v>
      </c>
      <c r="D16" s="43">
        <v>15</v>
      </c>
      <c r="E16" s="43">
        <v>16</v>
      </c>
      <c r="F16" s="43">
        <v>17</v>
      </c>
      <c r="G16" s="43">
        <v>18</v>
      </c>
      <c r="H16" s="43">
        <v>19</v>
      </c>
      <c r="I16" s="43">
        <v>20</v>
      </c>
    </row>
    <row r="17" spans="3:11">
      <c r="C17" s="43">
        <v>21</v>
      </c>
      <c r="D17" s="43">
        <v>22</v>
      </c>
      <c r="E17" s="43">
        <v>23</v>
      </c>
      <c r="F17" s="43">
        <v>24</v>
      </c>
      <c r="G17" s="43">
        <v>25</v>
      </c>
      <c r="H17" s="43">
        <v>26</v>
      </c>
      <c r="I17" s="43">
        <v>27</v>
      </c>
    </row>
    <row r="18" spans="3:11">
      <c r="C18" s="43">
        <v>28</v>
      </c>
      <c r="D18" s="43">
        <v>29</v>
      </c>
      <c r="E18" s="43">
        <v>30</v>
      </c>
      <c r="F18" s="21"/>
      <c r="G18" s="21"/>
      <c r="H18" s="21"/>
      <c r="I18" s="21"/>
      <c r="K18">
        <v>19</v>
      </c>
    </row>
    <row r="20" spans="3:11">
      <c r="C20" t="s">
        <v>176</v>
      </c>
    </row>
    <row r="21" spans="3:11">
      <c r="C21" s="22" t="s">
        <v>160</v>
      </c>
      <c r="D21" s="22" t="s">
        <v>161</v>
      </c>
      <c r="E21" s="22" t="s">
        <v>162</v>
      </c>
      <c r="F21" s="22" t="s">
        <v>163</v>
      </c>
      <c r="G21" s="22" t="s">
        <v>164</v>
      </c>
      <c r="H21" s="22" t="s">
        <v>165</v>
      </c>
      <c r="I21" s="22" t="s">
        <v>166</v>
      </c>
    </row>
    <row r="22" spans="3:11">
      <c r="C22" s="21"/>
      <c r="D22" s="21"/>
      <c r="E22" s="21"/>
      <c r="F22" s="43">
        <v>1</v>
      </c>
      <c r="G22" s="43">
        <v>2</v>
      </c>
      <c r="H22" s="43">
        <v>3</v>
      </c>
      <c r="I22" s="43">
        <v>4</v>
      </c>
    </row>
    <row r="23" spans="3:11">
      <c r="C23" s="43">
        <v>5</v>
      </c>
      <c r="D23" s="43">
        <v>6</v>
      </c>
      <c r="E23" s="31">
        <v>7</v>
      </c>
      <c r="F23" s="31">
        <v>8</v>
      </c>
      <c r="G23" s="31">
        <v>9</v>
      </c>
      <c r="H23" s="31">
        <v>10</v>
      </c>
      <c r="I23" s="31">
        <v>11</v>
      </c>
    </row>
    <row r="24" spans="3:11">
      <c r="C24" s="31">
        <v>12</v>
      </c>
      <c r="D24" s="31">
        <v>13</v>
      </c>
      <c r="E24" s="31">
        <v>14</v>
      </c>
      <c r="F24" s="31">
        <v>15</v>
      </c>
      <c r="G24" s="31">
        <v>16</v>
      </c>
      <c r="H24" s="31">
        <v>17</v>
      </c>
      <c r="I24" s="31">
        <v>18</v>
      </c>
    </row>
    <row r="25" spans="3:11">
      <c r="C25" s="31">
        <v>19</v>
      </c>
      <c r="D25" s="31">
        <v>20</v>
      </c>
      <c r="E25" s="31">
        <v>21</v>
      </c>
      <c r="F25" s="31">
        <v>22</v>
      </c>
      <c r="G25" s="31">
        <v>23</v>
      </c>
      <c r="H25" s="31">
        <v>24</v>
      </c>
      <c r="I25" s="31">
        <v>25</v>
      </c>
    </row>
    <row r="26" spans="3:11">
      <c r="C26" s="31">
        <v>26</v>
      </c>
      <c r="D26" s="31">
        <v>27</v>
      </c>
      <c r="E26" s="31">
        <v>28</v>
      </c>
      <c r="F26" s="31">
        <v>29</v>
      </c>
      <c r="G26" s="31">
        <v>30</v>
      </c>
      <c r="H26" s="31">
        <v>31</v>
      </c>
      <c r="I26" s="22"/>
      <c r="K26">
        <v>31</v>
      </c>
    </row>
    <row r="30" spans="3:11">
      <c r="C30" t="s">
        <v>177</v>
      </c>
    </row>
    <row r="31" spans="3:11">
      <c r="C31" s="22" t="s">
        <v>160</v>
      </c>
      <c r="D31" s="22" t="s">
        <v>161</v>
      </c>
      <c r="E31" s="22" t="s">
        <v>162</v>
      </c>
      <c r="F31" s="22" t="s">
        <v>163</v>
      </c>
      <c r="G31" s="22" t="s">
        <v>164</v>
      </c>
      <c r="H31" s="22" t="s">
        <v>165</v>
      </c>
      <c r="I31" s="22" t="s">
        <v>166</v>
      </c>
    </row>
    <row r="32" spans="3:11">
      <c r="C32" s="21"/>
      <c r="D32" s="21"/>
      <c r="E32" s="21"/>
      <c r="F32" s="21"/>
      <c r="G32" s="21"/>
      <c r="H32" s="21"/>
      <c r="I32" s="31">
        <v>1</v>
      </c>
      <c r="K32">
        <v>31</v>
      </c>
    </row>
    <row r="33" spans="3:9">
      <c r="C33" s="31">
        <v>2</v>
      </c>
      <c r="D33" s="49">
        <v>3</v>
      </c>
      <c r="E33" s="49">
        <v>4</v>
      </c>
      <c r="F33" s="49">
        <v>5</v>
      </c>
      <c r="G33" s="49">
        <v>6</v>
      </c>
      <c r="H33" s="49">
        <v>7</v>
      </c>
      <c r="I33" s="49">
        <v>8</v>
      </c>
    </row>
    <row r="34" spans="3:9">
      <c r="C34" s="49">
        <v>9</v>
      </c>
      <c r="D34" s="49">
        <v>10</v>
      </c>
      <c r="E34" s="49">
        <v>11</v>
      </c>
      <c r="F34" s="49">
        <v>12</v>
      </c>
      <c r="G34" s="49">
        <v>13</v>
      </c>
      <c r="H34" s="49">
        <v>14</v>
      </c>
      <c r="I34" s="49">
        <v>15</v>
      </c>
    </row>
    <row r="35" spans="3:9">
      <c r="C35" s="49">
        <v>16</v>
      </c>
      <c r="D35" s="49">
        <v>17</v>
      </c>
      <c r="E35" s="49">
        <v>18</v>
      </c>
      <c r="F35" s="49">
        <v>19</v>
      </c>
      <c r="G35" s="49">
        <v>20</v>
      </c>
      <c r="H35" s="49">
        <v>21</v>
      </c>
      <c r="I35" s="49">
        <v>22</v>
      </c>
    </row>
    <row r="36" spans="3:9">
      <c r="C36" s="49">
        <v>23</v>
      </c>
      <c r="D36" s="49">
        <v>24</v>
      </c>
      <c r="E36" s="49">
        <v>25</v>
      </c>
      <c r="F36" s="49">
        <v>26</v>
      </c>
      <c r="G36" s="49">
        <v>27</v>
      </c>
      <c r="H36" s="46">
        <v>28</v>
      </c>
      <c r="I36" s="46">
        <v>29</v>
      </c>
    </row>
    <row r="37" spans="3:9">
      <c r="C37" s="46">
        <v>30</v>
      </c>
      <c r="D37" s="46">
        <v>31</v>
      </c>
      <c r="E37" s="48">
        <v>1</v>
      </c>
      <c r="F37" s="48">
        <v>2</v>
      </c>
      <c r="G37" s="48">
        <v>3</v>
      </c>
      <c r="H37" s="47">
        <v>4</v>
      </c>
      <c r="I37" s="44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C7"/>
  <sheetViews>
    <sheetView workbookViewId="0">
      <selection activeCell="G3" sqref="G3"/>
    </sheetView>
  </sheetViews>
  <sheetFormatPr defaultRowHeight="18.75"/>
  <sheetData>
    <row r="2" spans="3:3">
      <c r="C2" t="s">
        <v>221</v>
      </c>
    </row>
    <row r="3" spans="3:3">
      <c r="C3" t="s">
        <v>222</v>
      </c>
    </row>
    <row r="4" spans="3:3">
      <c r="C4" t="s">
        <v>226</v>
      </c>
    </row>
    <row r="5" spans="3:3">
      <c r="C5" t="s">
        <v>223</v>
      </c>
    </row>
    <row r="6" spans="3:3">
      <c r="C6" t="s">
        <v>224</v>
      </c>
    </row>
    <row r="7" spans="3:3">
      <c r="C7" t="s">
        <v>225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1125_元データ</vt:lpstr>
      <vt:lpstr>概要</vt:lpstr>
      <vt:lpstr>作業工数見積もり</vt:lpstr>
      <vt:lpstr>日記</vt:lpstr>
      <vt:lpstr>メモ</vt:lpstr>
      <vt:lpstr>カレンダー</vt:lpstr>
      <vt:lpstr>雑用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2026-05-25T09:57:18Z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