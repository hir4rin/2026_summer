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DAEFFB46-32DB-4061-A6E2-56B22968464B}" xr6:coauthVersionLast="47" xr6:coauthVersionMax="47" xr10:uidLastSave="{00000000-0000-0000-0000-000000000000}"/>
  <bookViews>
    <workbookView xWindow="2760" yWindow="810" windowWidth="21600" windowHeight="13590"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<sst xmlns="http://schemas.openxmlformats.org/spreadsheetml/2006/main" count="708" uniqueCount="469">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</sst>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444</v>
      </c>
      <c r="D5" s="3">
        <f ca="1" xml:space="preserve"> C4 / C5</f>
        <v>5.6306306306306307E-2</v>
      </c>
    </row>
    <row r="6" spans="2:5">
      <c r="B6" s="7" t="s">
        <v>9</v>
      </c>
      <c r="C6" s="1">
        <f>DATE(2024,11,7)</f>
        <v>45603</v>
      </c>
    </row>
    <row r="7" spans="2:5">
      <c r="B7" s="8" t="s">
        <v>11</v>
      </c>
      <c r="C7" s="1">
        <f ca="1">TODAY()</f>
        <v>46224</v>
      </c>
    </row>
    <row r="9" spans="2:5">
      <c r="D9" t="s">
        <v>12</v>
      </c>
      <c r="E9" t="s">
        <v>13</v>
      </c>
    </row>
    <row r="10" spans="2:5">
      <c r="B10" s="4" t="s">
        <v>15</v>
      </c>
      <c r="C10" s="1">
        <f>DATE(2024,12,20)</f>
        <v>45646</v>
      </c>
      <c r="D10" s="2">
        <f ca="1">NETWORKDAYS(TODAY(),C10)</f>
        <v>-413</v>
      </c>
      <c r="E10" s="3">
        <f ca="1">($C$3 - $C$4) / D10</f>
        <v>-0.39225181598062953</v>
      </c>
    </row>
    <row r="11" spans="2:5">
      <c r="B11" s="9" t="s">
        <v>16</v>
      </c>
      <c r="C11" s="1">
        <f>DATE(2025,1,17)</f>
        <v>45674</v>
      </c>
      <c r="D11" s="2">
        <f ca="1">NETWORKDAYS(TODAY(),C11)</f>
        <v>-393</v>
      </c>
      <c r="E11" s="3">
        <f ca="1">($C$3 - $C$4) / D11</f>
        <v>-0.41221374045801529</v>
      </c>
    </row>
    <row r="12" spans="2:5">
      <c r="B12" s="6" t="s">
        <v>17</v>
      </c>
      <c r="C12" s="1">
        <f>DATE(2025,2,3)</f>
        <v>45691</v>
      </c>
      <c r="D12" s="2">
        <f ca="1">NETWORKDAYS(TODAY(),C12)</f>
        <v>-382</v>
      </c>
      <c r="E12" s="3">
        <f ca="1">($C$3 - $C$4) / D12</f>
        <v>-0.42408376963350786</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opLeftCell="A5"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41</v>
      </c>
      <c r="N3" s="10">
        <f ca="1">K3/M3</f>
        <v>2.6585365853658538</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-4</v>
      </c>
      <c r="N4" s="10">
        <f ca="1">J4/M4</f>
        <v>-23.5</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20</v>
      </c>
      <c r="N5" s="10">
        <f t="shared" ref="N5:N6" ca="1" si="1">J5/M5</f>
        <v>3.85</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37</v>
      </c>
      <c r="N6" s="10">
        <f t="shared" ca="1" si="1"/>
        <v>0.43243243243243246</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48"/>
  <sheetViews>
    <sheetView tabSelected="1" topLeftCell="A139" workbookViewId="0">
      <selection activeCell="C149" sqref="C149"/>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row r="124" spans="1:3">
      <c r="A124" s="1">
        <v>46219</v>
      </c>
      <c r="C124" t="s">
        <v>438</v>
      </c>
    </row>
    <row r="125" spans="1:3">
      <c r="A125" s="1">
        <v>46220</v>
      </c>
      <c r="C125" t="s">
        <v>439</v>
      </c>
    </row>
    <row r="126" spans="1:3">
      <c r="C126" t="s">
        <v>440</v>
      </c>
    </row>
    <row r="127" spans="1:3">
      <c r="C127" t="s">
        <v>441</v>
      </c>
    </row>
    <row r="128" spans="1:3">
      <c r="C128" t="s">
        <v>442</v>
      </c>
    </row>
    <row r="129" spans="1:3">
      <c r="C129" t="s">
        <v>443</v>
      </c>
    </row>
    <row r="130" spans="1:3">
      <c r="A130" s="1">
        <v>46221</v>
      </c>
      <c r="C130" t="s">
        <v>444</v>
      </c>
    </row>
    <row r="131" spans="1:3">
      <c r="C131" t="s">
        <v>445</v>
      </c>
    </row>
    <row r="132" spans="1:3">
      <c r="C132" t="s">
        <v>446</v>
      </c>
    </row>
    <row r="133" spans="1:3">
      <c r="C133" t="s">
        <v>447</v>
      </c>
    </row>
    <row r="134" spans="1:3">
      <c r="C134" t="s">
        <v>448</v>
      </c>
    </row>
    <row r="135" spans="1:3">
      <c r="C135" t="s">
        <v>449</v>
      </c>
    </row>
    <row r="136" spans="1:3">
      <c r="C136" t="s">
        <v>450</v>
      </c>
    </row>
    <row r="137" spans="1:3">
      <c r="C137" t="s">
        <v>451</v>
      </c>
    </row>
    <row r="138" spans="1:3">
      <c r="C138" t="s">
        <v>452</v>
      </c>
    </row>
    <row r="139" spans="1:3">
      <c r="C139" t="s">
        <v>459</v>
      </c>
    </row>
    <row r="140" spans="1:3">
      <c r="C140" t="s">
        <v>460</v>
      </c>
    </row>
    <row r="142" spans="1:3">
      <c r="A142" s="1">
        <v>46224</v>
      </c>
      <c r="C142" t="s">
        <v>462</v>
      </c>
    </row>
    <row r="143" spans="1:3">
      <c r="C143" t="s">
        <v>463</v>
      </c>
    </row>
    <row r="144" spans="1:3">
      <c r="C144" t="s">
        <v>464</v>
      </c>
    </row>
    <row r="145" spans="3:3">
      <c r="C145" t="s">
        <v>465</v>
      </c>
    </row>
    <row r="146" spans="3:3">
      <c r="C146" t="s">
        <v>466</v>
      </c>
    </row>
    <row r="147" spans="3:3">
      <c r="C147" t="s">
        <v>467</v>
      </c>
    </row>
    <row r="148" spans="3:3">
      <c r="C148" t="s">
        <v>468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57" workbookViewId="0">
      <selection activeCell="F50" sqref="F50"/>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row r="54" spans="2:2">
      <c r="B54" t="s">
        <v>453</v>
      </c>
    </row>
    <row r="55" spans="2:2">
      <c r="B55" t="s">
        <v>461</v>
      </c>
    </row>
    <row r="56" spans="2:2">
      <c r="B56" t="s">
        <v>454</v>
      </c>
    </row>
    <row r="61" spans="2:2">
      <c r="B61" t="s">
        <v>455</v>
      </c>
    </row>
    <row r="62" spans="2:2">
      <c r="B62" t="s">
        <v>456</v>
      </c>
    </row>
    <row r="63" spans="2:2">
      <c r="B63" t="s">
        <v>457</v>
      </c>
    </row>
    <row r="64" spans="2:2">
      <c r="B64" t="s">
        <v>458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2026-07-21T10:01:32Z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