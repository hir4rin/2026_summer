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5F51A5A4-8B58-44FD-8C33-6B87583A0A81}" xr6:coauthVersionLast="47" xr6:coauthVersionMax="47" xr10:uidLastSave="{00000000-0000-0000-0000-000000000000}"/>
  <bookViews>
    <workbookView xWindow="0" yWindow="360" windowWidth="29040" windowHeight="15720" activeTab="2"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<sst xmlns="http://schemas.openxmlformats.org/spreadsheetml/2006/main" count="586" uniqueCount="359">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</sst>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4">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435</v>
      </c>
      <c r="D5" s="3">
        <f ca="1" xml:space="preserve"> C4 / C5</f>
        <v>1.1494252873563218E-2</v>
      </c>
    </row>
    <row r="6" spans="2:5">
      <c r="B6" s="7" t="s">
        <v>9</v>
      </c>
      <c r="C6" s="1">
        <f>DATE(2024,11,7)</f>
        <v>45603</v>
      </c>
    </row>
    <row r="7" spans="2:5">
      <c r="B7" s="8" t="s">
        <v>11</v>
      </c>
      <c r="C7" s="1">
        <f ca="1">TODAY()</f>
        <v>46211</v>
      </c>
    </row>
    <row r="9" spans="2:5">
      <c r="D9" t="s">
        <v>12</v>
      </c>
      <c r="E9" t="s">
        <v>13</v>
      </c>
    </row>
    <row r="10" spans="2:5">
      <c r="B10" s="4" t="s">
        <v>15</v>
      </c>
      <c r="C10" s="1">
        <f>DATE(2024,12,20)</f>
        <v>45646</v>
      </c>
      <c r="D10" s="2">
        <f ca="1">NETWORKDAYS(TODAY(),C10)</f>
        <v>-404</v>
      </c>
      <c r="E10" s="3">
        <f ca="1">($C$3 - $C$4) / D10</f>
        <v>-0.4405940594059406</v>
      </c>
    </row>
    <row r="11" spans="2:5">
      <c r="B11" s="9" t="s">
        <v>16</v>
      </c>
      <c r="C11" s="1">
        <f>DATE(2025,1,17)</f>
        <v>45674</v>
      </c>
      <c r="D11" s="2">
        <f ca="1">NETWORKDAYS(TODAY(),C11)</f>
        <v>-384</v>
      </c>
      <c r="E11" s="3">
        <f ca="1">($C$3 - $C$4) / D11</f>
        <v>-0.46354166666666669</v>
      </c>
    </row>
    <row r="12" spans="2:5">
      <c r="B12" s="6" t="s">
        <v>17</v>
      </c>
      <c r="C12" s="1">
        <f>DATE(2025,2,3)</f>
        <v>45691</v>
      </c>
      <c r="D12" s="2">
        <f ca="1">NETWORKDAYS(TODAY(),C12)</f>
        <v>-373</v>
      </c>
      <c r="E12" s="3">
        <f ca="1">($C$3 - $C$4) / D12</f>
        <v>-0.47721179624664878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topLeftCell="A21" zoomScale="85" zoomScaleNormal="85" workbookViewId="0">
      <selection activeCell="G57" sqref="G57"/>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183</v>
      </c>
      <c r="K3" s="10">
        <f>SUMIFS(E3:E53,G3:G53,"未着手")</f>
        <v>136</v>
      </c>
      <c r="L3" s="10">
        <f>SUM(F3:F41)</f>
        <v>27</v>
      </c>
      <c r="M3" s="10">
        <f ca="1">INT(J11 - TODAY())</f>
        <v>54</v>
      </c>
      <c r="N3" s="10">
        <f ca="1">K3/M3</f>
        <v>2.5185185185185186</v>
      </c>
    </row>
    <row r="4" spans="1:14" hidden="1">
      <c r="A4" s="17" t="s">
        <v>35</v>
      </c>
      <c r="B4" s="10" t="s">
        <v>48</v>
      </c>
      <c r="C4" s="16" t="s">
        <v>14</v>
      </c>
      <c r="D4" s="16" t="s">
        <v>10</v>
      </c>
      <c r="E4" s="16">
        <v>0</v>
      </c>
      <c r="G4" s="16" t="s">
        <v>39</v>
      </c>
      <c r="I4" s="26" t="s">
        <v>28</v>
      </c>
      <c r="J4" s="29">
        <f>SUMIF(D3:D53,I4,E3:E53)</f>
        <v>90</v>
      </c>
      <c r="K4" s="10">
        <f>SUMIFS(E3:E53,G3:G53,"未着手",D3:D53,I4)</f>
        <v>61</v>
      </c>
      <c r="L4" s="10">
        <f>SUMIFS(F3:F41,D3:D41,I4)</f>
        <v>27</v>
      </c>
      <c r="M4" s="10">
        <f ca="1">INT(J12-TODAY())</f>
        <v>9</v>
      </c>
      <c r="N4" s="10">
        <f ca="1">J4/M4</f>
        <v>10</v>
      </c>
    </row>
    <row r="5" spans="1:14" hidden="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33</v>
      </c>
      <c r="N5" s="10">
        <f t="shared" ref="N5:N6" ca="1" si="1">J5/M5</f>
        <v>2.3333333333333335</v>
      </c>
    </row>
    <row r="6" spans="1:14" hidden="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50</v>
      </c>
      <c r="N6" s="10">
        <f t="shared" ca="1" si="1"/>
        <v>0.32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306</v>
      </c>
    </row>
    <row r="25" spans="1:7">
      <c r="A25" s="20" t="s">
        <v>46</v>
      </c>
      <c r="B25" s="10" t="s">
        <v>308</v>
      </c>
      <c r="C25" s="16" t="s">
        <v>5</v>
      </c>
      <c r="D25" s="16" t="s">
        <v>18</v>
      </c>
      <c r="E25" s="16">
        <v>2</v>
      </c>
      <c r="F25" s="16">
        <v>1</v>
      </c>
      <c r="G25" s="16" t="s">
        <v>306</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39</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39</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abSelected="1" topLeftCell="A16"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56"/>
  <sheetViews>
    <sheetView topLeftCell="A41" workbookViewId="0">
      <selection activeCell="C57" sqref="C57"/>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2026-07-08T04:41:02Z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