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F1C35EBA-AAFA-4ADC-8B73-09C8226FA5DF}" xr6:coauthVersionLast="47" xr6:coauthVersionMax="47" xr10:uidLastSave="{00000000-0000-0000-0000-000000000000}"/>
  <bookViews>
    <workbookView xWindow="-120" yWindow="-120" windowWidth="29040" windowHeight="15720"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<sst xmlns="http://schemas.openxmlformats.org/spreadsheetml/2006/main" count="674" uniqueCount="435">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</sst>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440</v>
      </c>
      <c r="D5" s="3">
        <f ca="1" xml:space="preserve"> C4 / C5</f>
        <v>5.6818181818181816E-2</v>
      </c>
    </row>
    <row r="6" spans="2:5">
      <c r="B6" s="7" t="s">
        <v>9</v>
      </c>
      <c r="C6" s="1">
        <f>DATE(2024,11,7)</f>
        <v>45603</v>
      </c>
    </row>
    <row r="7" spans="2:5">
      <c r="B7" s="8" t="s">
        <v>11</v>
      </c>
      <c r="C7" s="1">
        <f ca="1">TODAY()</f>
        <v>46218</v>
      </c>
    </row>
    <row r="9" spans="2:5">
      <c r="D9" t="s">
        <v>12</v>
      </c>
      <c r="E9" t="s">
        <v>13</v>
      </c>
    </row>
    <row r="10" spans="2:5">
      <c r="B10" s="4" t="s">
        <v>15</v>
      </c>
      <c r="C10" s="1">
        <f>DATE(2024,12,20)</f>
        <v>45646</v>
      </c>
      <c r="D10" s="2">
        <f ca="1">NETWORKDAYS(TODAY(),C10)</f>
        <v>-409</v>
      </c>
      <c r="E10" s="3">
        <f ca="1">($C$3 - $C$4) / D10</f>
        <v>-0.39608801955990219</v>
      </c>
    </row>
    <row r="11" spans="2:5">
      <c r="B11" s="9" t="s">
        <v>16</v>
      </c>
      <c r="C11" s="1">
        <f>DATE(2025,1,17)</f>
        <v>45674</v>
      </c>
      <c r="D11" s="2">
        <f ca="1">NETWORKDAYS(TODAY(),C11)</f>
        <v>-389</v>
      </c>
      <c r="E11" s="3">
        <f ca="1">($C$3 - $C$4) / D11</f>
        <v>-0.41645244215938304</v>
      </c>
    </row>
    <row r="12" spans="2:5">
      <c r="B12" s="6" t="s">
        <v>17</v>
      </c>
      <c r="C12" s="1">
        <f>DATE(2025,2,3)</f>
        <v>45691</v>
      </c>
      <c r="D12" s="2">
        <f ca="1">NETWORKDAYS(TODAY(),C12)</f>
        <v>-378</v>
      </c>
      <c r="E12" s="3">
        <f ca="1">($C$3 - $C$4) / D12</f>
        <v>-0.42857142857142855</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zoomScale="85" zoomScaleNormal="85" workbookViewId="0">
      <selection activeCell="G42" sqref="G4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109</v>
      </c>
      <c r="L3" s="10">
        <f>SUM(F3:F43)</f>
        <v>45</v>
      </c>
      <c r="M3" s="10">
        <f ca="1">INT(J11 - TODAY())</f>
        <v>47</v>
      </c>
      <c r="N3" s="10">
        <f ca="1">K3/M3</f>
        <v>2.3191489361702127</v>
      </c>
    </row>
    <row r="4" spans="1:14" ht="26.25"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2</v>
      </c>
      <c r="N4" s="10">
        <f ca="1">J4/M4</f>
        <v>47</v>
      </c>
    </row>
    <row r="5" spans="1:14" ht="16.5"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26</v>
      </c>
      <c r="N5" s="10">
        <f t="shared" ref="N5:N6" ca="1" si="1">J5/M5</f>
        <v>2.9615384615384617</v>
      </c>
    </row>
    <row r="6" spans="1:14" ht="19.5" customHeight="1">
      <c r="A6" s="17" t="s">
        <v>35</v>
      </c>
      <c r="B6" s="10" t="s">
        <v>36</v>
      </c>
      <c r="C6" s="16" t="s">
        <v>14</v>
      </c>
      <c r="D6" s="16" t="s">
        <v>10</v>
      </c>
      <c r="E6" s="16">
        <v>0</v>
      </c>
      <c r="G6" s="16" t="s">
        <v>39</v>
      </c>
      <c r="I6" s="28" t="s">
        <v>29</v>
      </c>
      <c r="J6" s="29">
        <f>SUMIF(D3:D55,I6,E3:E55)</f>
        <v>16</v>
      </c>
      <c r="K6" s="10">
        <f>SUMIFS(E3:E55,G3:G55,"未着手",D3:D55,I6)</f>
        <v>15</v>
      </c>
      <c r="L6" s="10">
        <f>SUMIFS(F5:F47,D5:D47,I6)</f>
        <v>1</v>
      </c>
      <c r="M6" s="10">
        <f t="shared" ca="1" si="0"/>
        <v>43</v>
      </c>
      <c r="N6" s="10">
        <f t="shared" ca="1" si="1"/>
        <v>0.37209302325581395</v>
      </c>
    </row>
    <row r="7" spans="1:14">
      <c r="A7" s="18" t="s">
        <v>37</v>
      </c>
      <c r="B7" s="10" t="s">
        <v>70</v>
      </c>
      <c r="C7" s="16" t="s">
        <v>5</v>
      </c>
      <c r="D7" s="16" t="s">
        <v>18</v>
      </c>
      <c r="E7" s="16">
        <v>3</v>
      </c>
      <c r="G7" s="16" t="s">
        <v>306</v>
      </c>
    </row>
    <row r="8" spans="1:14"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387</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335</v>
      </c>
      <c r="C19" s="16" t="s">
        <v>5</v>
      </c>
      <c r="D19" s="16" t="s">
        <v>18</v>
      </c>
    </row>
    <row r="20" spans="1:7" hidden="1">
      <c r="A20" s="19" t="s">
        <v>44</v>
      </c>
      <c r="B20" s="10" t="s">
        <v>336</v>
      </c>
      <c r="C20" s="16" t="s">
        <v>5</v>
      </c>
      <c r="D20" s="16" t="s">
        <v>18</v>
      </c>
    </row>
    <row r="21" spans="1:7">
      <c r="A21" s="19" t="s">
        <v>44</v>
      </c>
      <c r="B21" s="10" t="s">
        <v>260</v>
      </c>
      <c r="C21" s="16" t="s">
        <v>5</v>
      </c>
      <c r="D21" s="16" t="s">
        <v>18</v>
      </c>
      <c r="E21" s="16">
        <v>8</v>
      </c>
      <c r="G21" s="16" t="s">
        <v>39</v>
      </c>
    </row>
    <row r="22" spans="1:7" hidden="1">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388</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349</v>
      </c>
      <c r="C40" s="16" t="s">
        <v>5</v>
      </c>
      <c r="D40" s="16" t="s">
        <v>18</v>
      </c>
      <c r="E40" s="16">
        <v>1</v>
      </c>
      <c r="F40" s="16">
        <v>1</v>
      </c>
      <c r="G40" s="16" t="s">
        <v>57</v>
      </c>
    </row>
    <row r="41" spans="1:7" hidden="1">
      <c r="A41" s="22" t="s">
        <v>41</v>
      </c>
      <c r="B41" s="10" t="s">
        <v>75</v>
      </c>
      <c r="C41" s="16" t="s">
        <v>5</v>
      </c>
      <c r="D41" s="16" t="s">
        <v>18</v>
      </c>
      <c r="E41" s="16">
        <v>0</v>
      </c>
      <c r="G41" s="16" t="s">
        <v>57</v>
      </c>
    </row>
    <row r="42" spans="1:7">
      <c r="A42" s="23" t="s">
        <v>42</v>
      </c>
      <c r="B42" s="10" t="s">
        <v>278</v>
      </c>
      <c r="D42" s="16" t="s">
        <v>293</v>
      </c>
      <c r="E42" s="16">
        <v>2</v>
      </c>
      <c r="G42" s="16" t="s">
        <v>39</v>
      </c>
    </row>
    <row r="43" spans="1:7">
      <c r="A43" s="23" t="s">
        <v>42</v>
      </c>
      <c r="B43" s="10" t="s">
        <v>279</v>
      </c>
      <c r="C43" s="16" t="s">
        <v>5</v>
      </c>
      <c r="D43" s="16" t="s">
        <v>293</v>
      </c>
      <c r="E43" s="16">
        <v>1</v>
      </c>
      <c r="G43" s="16" t="s">
        <v>39</v>
      </c>
    </row>
    <row r="44" spans="1:7">
      <c r="A44" s="23" t="s">
        <v>42</v>
      </c>
      <c r="B44" s="10" t="s">
        <v>280</v>
      </c>
      <c r="D44" s="16" t="s">
        <v>293</v>
      </c>
      <c r="E44" s="16">
        <v>1</v>
      </c>
      <c r="F44" s="16">
        <v>1</v>
      </c>
      <c r="G44" s="16" t="s">
        <v>57</v>
      </c>
    </row>
    <row r="45" spans="1:7">
      <c r="A45" s="10" t="s">
        <v>277</v>
      </c>
      <c r="B45" s="10" t="s">
        <v>281</v>
      </c>
      <c r="D45" s="16" t="s">
        <v>10</v>
      </c>
      <c r="E45" s="16">
        <v>6</v>
      </c>
      <c r="G45" s="16" t="s">
        <v>39</v>
      </c>
    </row>
    <row r="46" spans="1:7">
      <c r="A46" s="10" t="s">
        <v>277</v>
      </c>
      <c r="B46" s="10" t="s">
        <v>282</v>
      </c>
      <c r="D46" s="16" t="s">
        <v>10</v>
      </c>
      <c r="E46" s="16">
        <v>6</v>
      </c>
      <c r="G46" s="16" t="s">
        <v>39</v>
      </c>
    </row>
    <row r="47" spans="1:7">
      <c r="A47" s="10" t="s">
        <v>277</v>
      </c>
      <c r="B47" s="10" t="s">
        <v>283</v>
      </c>
      <c r="D47" s="16" t="s">
        <v>18</v>
      </c>
      <c r="E47" s="16">
        <v>0</v>
      </c>
      <c r="G47" s="16" t="s">
        <v>39</v>
      </c>
    </row>
    <row r="48" spans="1:7">
      <c r="A48" s="13" t="s">
        <v>38</v>
      </c>
      <c r="B48" s="10" t="s">
        <v>284</v>
      </c>
      <c r="C48" s="16" t="s">
        <v>257</v>
      </c>
      <c r="D48" s="16" t="s">
        <v>10</v>
      </c>
      <c r="E48" s="16">
        <v>1</v>
      </c>
      <c r="G48" s="16" t="s">
        <v>39</v>
      </c>
    </row>
    <row r="49" spans="1:7">
      <c r="A49" s="13" t="s">
        <v>38</v>
      </c>
      <c r="B49" s="10" t="s">
        <v>285</v>
      </c>
      <c r="C49" s="16" t="s">
        <v>5</v>
      </c>
      <c r="D49" s="16" t="s">
        <v>10</v>
      </c>
      <c r="E49" s="16">
        <v>8</v>
      </c>
      <c r="G49" s="16" t="s">
        <v>39</v>
      </c>
    </row>
    <row r="50" spans="1:7">
      <c r="A50" s="13" t="s">
        <v>38</v>
      </c>
      <c r="B50" s="10" t="s">
        <v>286</v>
      </c>
      <c r="C50" s="16" t="s">
        <v>5</v>
      </c>
      <c r="D50" s="16" t="s">
        <v>10</v>
      </c>
      <c r="E50" s="16">
        <v>6</v>
      </c>
      <c r="G50" s="16" t="s">
        <v>39</v>
      </c>
    </row>
    <row r="51" spans="1:7">
      <c r="A51" s="13" t="s">
        <v>38</v>
      </c>
      <c r="B51" s="10" t="s">
        <v>287</v>
      </c>
      <c r="C51" s="16" t="s">
        <v>5</v>
      </c>
      <c r="D51" s="16" t="s">
        <v>10</v>
      </c>
      <c r="E51" s="16">
        <v>8</v>
      </c>
      <c r="G51" s="16" t="s">
        <v>39</v>
      </c>
    </row>
    <row r="52" spans="1:7">
      <c r="A52" s="13" t="s">
        <v>38</v>
      </c>
      <c r="B52" s="10" t="s">
        <v>288</v>
      </c>
      <c r="C52" s="16" t="s">
        <v>5</v>
      </c>
      <c r="D52" s="16" t="s">
        <v>10</v>
      </c>
      <c r="E52" s="16">
        <v>8</v>
      </c>
      <c r="G52" s="16" t="s">
        <v>39</v>
      </c>
    </row>
    <row r="53" spans="1:7">
      <c r="A53" s="13" t="s">
        <v>38</v>
      </c>
      <c r="B53" s="10" t="s">
        <v>289</v>
      </c>
      <c r="C53" s="16" t="s">
        <v>5</v>
      </c>
      <c r="D53" s="16" t="s">
        <v>10</v>
      </c>
      <c r="E53" s="16">
        <v>4</v>
      </c>
      <c r="G53" s="16" t="s">
        <v>39</v>
      </c>
    </row>
    <row r="54" spans="1:7">
      <c r="A54" s="13" t="s">
        <v>38</v>
      </c>
      <c r="B54" s="10" t="s">
        <v>290</v>
      </c>
      <c r="C54" s="16" t="s">
        <v>5</v>
      </c>
      <c r="D54" s="16" t="s">
        <v>10</v>
      </c>
      <c r="E54" s="16">
        <v>12</v>
      </c>
      <c r="G54" s="16" t="s">
        <v>39</v>
      </c>
    </row>
    <row r="55" spans="1:7">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350</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351</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19"/>
  <sheetViews>
    <sheetView tabSelected="1" topLeftCell="A95" workbookViewId="0">
      <selection activeCell="C120" sqref="C120"/>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334</v>
      </c>
    </row>
    <row r="44" spans="1:3">
      <c r="C44" t="s">
        <v>337</v>
      </c>
    </row>
    <row r="45" spans="1:3">
      <c r="C45" t="s">
        <v>338</v>
      </c>
    </row>
    <row r="46" spans="1:3">
      <c r="C46" t="s">
        <v>339</v>
      </c>
    </row>
    <row r="47" spans="1:3">
      <c r="C47" t="s">
        <v>340</v>
      </c>
    </row>
    <row r="48" spans="1:3">
      <c r="C48" t="s">
        <v>341</v>
      </c>
    </row>
    <row r="49" spans="1:3">
      <c r="A49" s="1">
        <v>46210</v>
      </c>
      <c r="C49" t="s">
        <v>342</v>
      </c>
    </row>
    <row r="50" spans="1:3">
      <c r="C50" t="s">
        <v>343</v>
      </c>
    </row>
    <row r="52" spans="1:3">
      <c r="A52" s="1">
        <v>46211</v>
      </c>
      <c r="C52" t="s">
        <v>344</v>
      </c>
    </row>
    <row r="53" spans="1:3">
      <c r="C53" t="s">
        <v>345</v>
      </c>
    </row>
    <row r="54" spans="1:3">
      <c r="C54" t="s">
        <v>346</v>
      </c>
    </row>
    <row r="55" spans="1:3">
      <c r="C55" t="s">
        <v>347</v>
      </c>
    </row>
    <row r="56" spans="1:3">
      <c r="C56" t="s">
        <v>348</v>
      </c>
    </row>
    <row r="58" spans="1:3">
      <c r="C58" t="s">
        <v>352</v>
      </c>
    </row>
    <row r="60" spans="1:3">
      <c r="C60" t="s">
        <v>378</v>
      </c>
    </row>
    <row r="61" spans="1:3">
      <c r="C61" t="s">
        <v>379</v>
      </c>
    </row>
    <row r="63" spans="1:3">
      <c r="A63" s="1">
        <v>46212</v>
      </c>
      <c r="C63" t="s">
        <v>380</v>
      </c>
    </row>
    <row r="64" spans="1:3">
      <c r="C64" t="s">
        <v>381</v>
      </c>
    </row>
    <row r="65" spans="1:3">
      <c r="C65" t="s">
        <v>382</v>
      </c>
    </row>
    <row r="66" spans="1:3">
      <c r="C66" t="s">
        <v>383</v>
      </c>
    </row>
    <row r="68" spans="1:3">
      <c r="A68" s="1">
        <v>46213</v>
      </c>
      <c r="C68" t="s">
        <v>384</v>
      </c>
    </row>
    <row r="69" spans="1:3">
      <c r="C69" t="s">
        <v>385</v>
      </c>
    </row>
    <row r="70" spans="1:3">
      <c r="C70" t="s">
        <v>386</v>
      </c>
    </row>
    <row r="72" spans="1:3">
      <c r="A72" s="1">
        <v>46214</v>
      </c>
      <c r="C72" t="s">
        <v>389</v>
      </c>
    </row>
    <row r="73" spans="1:3">
      <c r="C73" t="s">
        <v>390</v>
      </c>
    </row>
    <row r="74" spans="1:3">
      <c r="C74" t="s">
        <v>391</v>
      </c>
    </row>
    <row r="76" spans="1:3">
      <c r="C76" t="s">
        <v>392</v>
      </c>
    </row>
    <row r="77" spans="1:3">
      <c r="C77" t="s">
        <v>393</v>
      </c>
    </row>
    <row r="78" spans="1:3">
      <c r="C78" t="s">
        <v>394</v>
      </c>
    </row>
    <row r="79" spans="1:3">
      <c r="C79" t="s">
        <v>395</v>
      </c>
    </row>
    <row r="81" spans="3:3">
      <c r="C81" t="s">
        <v>396</v>
      </c>
    </row>
    <row r="83" spans="3:3">
      <c r="C83" t="s">
        <v>398</v>
      </c>
    </row>
    <row r="84" spans="3:3">
      <c r="C84" t="s">
        <v>399</v>
      </c>
    </row>
    <row r="85" spans="3:3">
      <c r="C85" t="s">
        <v>400</v>
      </c>
    </row>
    <row r="87" spans="3:3">
      <c r="C87" t="s">
        <v>401</v>
      </c>
    </row>
    <row r="88" spans="3:3">
      <c r="C88" t="s">
        <v>402</v>
      </c>
    </row>
    <row r="90" spans="3:3">
      <c r="C90" t="s">
        <v>403</v>
      </c>
    </row>
    <row r="91" spans="3:3">
      <c r="C91" t="s">
        <v>404</v>
      </c>
    </row>
    <row r="92" spans="3:3">
      <c r="C92" t="s">
        <v>405</v>
      </c>
    </row>
    <row r="93" spans="3:3">
      <c r="C93" t="s">
        <v>406</v>
      </c>
    </row>
    <row r="94" spans="3:3">
      <c r="C94" t="s">
        <v>407</v>
      </c>
    </row>
    <row r="95" spans="3:3">
      <c r="C95" t="s">
        <v>408</v>
      </c>
    </row>
    <row r="96" spans="3:3">
      <c r="C96" t="s">
        <v>409</v>
      </c>
    </row>
    <row r="97" spans="1:3">
      <c r="C97" t="s">
        <v>410</v>
      </c>
    </row>
    <row r="99" spans="1:3">
      <c r="A99" s="1">
        <v>46215</v>
      </c>
      <c r="C99" t="s">
        <v>411</v>
      </c>
    </row>
    <row r="100" spans="1:3">
      <c r="C100" t="s">
        <v>412</v>
      </c>
    </row>
    <row r="101" spans="1:3">
      <c r="C101" t="s">
        <v>413</v>
      </c>
    </row>
    <row r="102" spans="1:3">
      <c r="C102" t="s">
        <v>414</v>
      </c>
    </row>
    <row r="103" spans="1:3">
      <c r="C103" t="s">
        <v>415</v>
      </c>
    </row>
    <row r="104" spans="1:3">
      <c r="C104" t="s">
        <v>416</v>
      </c>
    </row>
    <row r="105" spans="1:3">
      <c r="C105" t="s">
        <v>417</v>
      </c>
    </row>
    <row r="106" spans="1:3">
      <c r="C106" t="s">
        <v>418</v>
      </c>
    </row>
    <row r="107" spans="1:3">
      <c r="C107" t="s">
        <v>419</v>
      </c>
    </row>
    <row r="109" spans="1:3">
      <c r="A109" s="1">
        <v>46216</v>
      </c>
      <c r="C109" t="s">
        <v>420</v>
      </c>
    </row>
    <row r="110" spans="1:3">
      <c r="C110" t="s">
        <v>421</v>
      </c>
    </row>
    <row r="111" spans="1:3">
      <c r="C111" t="s">
        <v>422</v>
      </c>
    </row>
    <row r="112" spans="1:3">
      <c r="C112" t="s">
        <v>423</v>
      </c>
    </row>
    <row r="113" spans="1:3">
      <c r="C113" t="s">
        <v>424</v>
      </c>
    </row>
    <row r="114" spans="1:3">
      <c r="C114" t="s">
        <v>425</v>
      </c>
    </row>
    <row r="115" spans="1:3">
      <c r="C115" t="s">
        <v>426</v>
      </c>
    </row>
    <row r="116" spans="1:3">
      <c r="C116" t="s">
        <v>427</v>
      </c>
    </row>
    <row r="118" spans="1:3">
      <c r="A118" s="1">
        <v>46218</v>
      </c>
      <c r="C118" t="s">
        <v>433</v>
      </c>
    </row>
    <row r="119" spans="1:3">
      <c r="C119" t="s">
        <v>434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359</v>
      </c>
    </row>
    <row r="3" spans="4:18">
      <c r="D3" t="s">
        <v>353</v>
      </c>
    </row>
    <row r="4" spans="4:18">
      <c r="D4" t="s">
        <v>357</v>
      </c>
      <c r="H4" t="s">
        <v>354</v>
      </c>
    </row>
    <row r="5" spans="4:18">
      <c r="D5" t="s">
        <v>358</v>
      </c>
      <c r="H5" t="s">
        <v>355</v>
      </c>
      <c r="N5" t="s">
        <v>368</v>
      </c>
      <c r="O5" t="s">
        <v>369</v>
      </c>
      <c r="P5" t="s">
        <v>370</v>
      </c>
      <c r="Q5" t="s">
        <v>369</v>
      </c>
      <c r="R5" t="s">
        <v>371</v>
      </c>
    </row>
    <row r="6" spans="4:18">
      <c r="H6" t="s">
        <v>356</v>
      </c>
    </row>
    <row r="9" spans="4:18">
      <c r="D9" t="s">
        <v>360</v>
      </c>
    </row>
    <row r="10" spans="4:18">
      <c r="D10" t="s">
        <v>361</v>
      </c>
      <c r="E10" t="s">
        <v>362</v>
      </c>
      <c r="F10" t="s">
        <v>364</v>
      </c>
      <c r="G10" t="s">
        <v>365</v>
      </c>
      <c r="H10" t="s">
        <v>366</v>
      </c>
      <c r="I10" t="s">
        <v>99</v>
      </c>
      <c r="J10" t="s">
        <v>367</v>
      </c>
      <c r="K10" t="s">
        <v>363</v>
      </c>
    </row>
    <row r="12" spans="4:18">
      <c r="D12" s="54" t="s">
        <v>372</v>
      </c>
      <c r="E12" s="54" t="s">
        <v>373</v>
      </c>
    </row>
    <row r="13" spans="4:18">
      <c r="D13" s="54"/>
      <c r="E13" s="54" t="s">
        <v>374</v>
      </c>
    </row>
    <row r="15" spans="4:18">
      <c r="D15" t="s">
        <v>375</v>
      </c>
      <c r="E15" t="s">
        <v>107</v>
      </c>
      <c r="K15" t="s">
        <v>377</v>
      </c>
    </row>
    <row r="17" spans="14:16">
      <c r="N17" t="s">
        <v>277</v>
      </c>
      <c r="P17" t="s">
        <v>376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51"/>
  <sheetViews>
    <sheetView topLeftCell="A25" workbookViewId="0">
      <selection activeCell="F18" sqref="F18"/>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326</v>
      </c>
    </row>
    <row r="33" spans="2:2">
      <c r="B33" t="s">
        <v>327</v>
      </c>
    </row>
    <row r="34" spans="2:2">
      <c r="B34" t="s">
        <v>329</v>
      </c>
    </row>
    <row r="35" spans="2:2">
      <c r="B35" t="s">
        <v>330</v>
      </c>
    </row>
    <row r="36" spans="2:2">
      <c r="B36" t="s">
        <v>328</v>
      </c>
    </row>
    <row r="37" spans="2:2">
      <c r="B37" t="s">
        <v>331</v>
      </c>
    </row>
    <row r="40" spans="2:2">
      <c r="B40" t="s">
        <v>332</v>
      </c>
    </row>
    <row r="41" spans="2:2">
      <c r="B41" t="s">
        <v>333</v>
      </c>
    </row>
    <row r="45" spans="2:2">
      <c r="B45" t="s">
        <v>397</v>
      </c>
    </row>
    <row r="47" spans="2:2">
      <c r="B47" t="s">
        <v>428</v>
      </c>
    </row>
    <row r="48" spans="2:2">
      <c r="B48" t="s">
        <v>429</v>
      </c>
    </row>
    <row r="49" spans="2:2">
      <c r="B49" t="s">
        <v>430</v>
      </c>
    </row>
    <row r="50" spans="2:2">
      <c r="B50" t="s">
        <v>431</v>
      </c>
    </row>
    <row r="51" spans="2:2">
      <c r="B51" t="s">
        <v>432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2026-07-15T03:01:12Z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